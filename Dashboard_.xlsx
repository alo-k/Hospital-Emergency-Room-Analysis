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filterPrivacy="1" hidePivotFieldList="1" defaultThemeVersion="166925"/>
  <xr:revisionPtr revIDLastSave="0" documentId="13_ncr:1_{5D7A2663-9F19-413D-83CD-2C50DAF236E9}" xr6:coauthVersionLast="47" xr6:coauthVersionMax="47" xr10:uidLastSave="{00000000-0000-0000-0000-000000000000}"/>
  <bookViews>
    <workbookView xWindow="-108" yWindow="-108" windowWidth="23256" windowHeight="12456" activeTab="1" xr2:uid="{A09CEAA0-0A55-443A-846A-4B663CC65FCA}"/>
  </bookViews>
  <sheets>
    <sheet name="Pivot Report" sheetId="3" r:id="rId1"/>
    <sheet name="Dashboard" sheetId="4" r:id="rId2"/>
    <sheet name="Daily Er Patient Visit" sheetId="5" r:id="rId3"/>
    <sheet name="Average Wait Time Daily trend" sheetId="6" r:id="rId4"/>
    <sheet name="Satisfaction Score Daily Trends" sheetId="7"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17473b5-c7ae-4093-8335-ecd6e76132ac" name="Hospital Emergency Room Data" connection="Query - Hospital Emergency Room Data"/>
          <x15:modelTable id="Calendar_Table_1c743d92-2f32-4ff2-bdea-e13ed9a1697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84" i="3" l="1"/>
  <c r="C384" i="3"/>
  <c r="D384" i="3"/>
  <c r="B385" i="3"/>
  <c r="C385" i="3"/>
  <c r="D38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09A22F-9D78-41B1-9D28-E4476389A9A8}" name="Query - Calendar_Table" description="Connection to the 'Calendar_Table' query in the workbook." type="100" refreshedVersion="7" minRefreshableVersion="5">
    <extLst>
      <ext xmlns:x15="http://schemas.microsoft.com/office/spreadsheetml/2010/11/main" uri="{DE250136-89BD-433C-8126-D09CA5730AF9}">
        <x15:connection id="1ad02787-308e-4775-9684-ae57f8cd1f91">
          <x15:oledbPr connection="Provider=Microsoft.Mashup.OleDb.1;Data Source=$Workbook$;Location=Calendar_Table;Extended Properties=&quot;&quot;">
            <x15:dbTables>
              <x15:dbTable name="Calendar_Table"/>
            </x15:dbTables>
          </x15:oledbPr>
        </x15:connection>
      </ext>
    </extLst>
  </connection>
  <connection id="2" xr16:uid="{360912F2-6E6E-4F71-9D24-EF6310EF2099}"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2b41d8ee-235f-41d9-acb1-8b07f3714ecd"/>
      </ext>
    </extLst>
  </connection>
  <connection id="3" xr16:uid="{54C46F7D-7E8D-470D-9434-7C03F473F14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<sst xmlns="http://schemas.openxmlformats.org/spreadsheetml/2006/main" count="1157" uniqueCount="409">
  <si>
    <t>Distinct Count of Patient Id</t>
  </si>
  <si>
    <t>No. of Patient</t>
  </si>
  <si>
    <t>Average of Patient Waittime</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</si>
  <si>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</si>
  <si>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</si>
  <si>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</si>
  <si>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</si>
  <si>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</si>
  <si>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</si>
  <si>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</si>
  <si>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</si>
  <si>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</si>
  <si>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</si>
  <si>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</si>
  <si>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</si>
  <si>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</si>
  <si>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</si>
  <si>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</si>
  <si>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</si>
  <si>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</si>
  <si>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</si>
  <si>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</si>
  <si>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</si>
  <si>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</si>
  <si>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</si>
  <si>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</si>
  <si>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</si>
  <si>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</si>
  <si>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</si>
  <si>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</si>
  <si>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</si>
  <si>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</si>
  <si>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</si>
  <si>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</si>
  <si>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</si>
  <si>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</si>
  <si>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</si>
  <si>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</si>
  <si>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</si>
  <si>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</si>
  <si>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</si>
  <si>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</si>
  <si>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</si>
  <si>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</si>
  <si>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</si>
  <si>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</si>
  <si>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</si>
  <si>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</si>
  <si>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</si>
  <si>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</si>
  <si>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</si>
  <si>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</si>
  <si>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</si>
  <si>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</si>
  <si>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</si>
  <si>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</si>
  <si>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</si>
  <si>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</si>
  <si>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</si>
  <si>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</si>
  <si>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</si>
  <si>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</si>
  <si>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</si>
  <si>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</si>
  <si>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</si>
  <si>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</si>
  <si>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</si>
  <si>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</si>
  <si>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</si>
  <si>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</si>
  <si>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</si>
  <si>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</si>
  <si>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</si>
  <si>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</si>
  <si>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</si>
  <si>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</si>
  <si>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</si>
  <si>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</si>
  <si>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</si>
  <si>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</si>
  <si>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</si>
  <si>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</si>
  <si>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</si>
  <si>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</si>
  <si>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</si>
  <si>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</si>
  <si>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</si>
  <si>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</si>
  <si>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</si>
  <si>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</si>
  <si>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</si>
  <si>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</si>
  <si>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</si>
  <si>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</si>
  <si>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</si>
  <si>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</si>
  <si>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</si>
  <si>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</si>
  <si>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</si>
  <si>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</si>
  <si>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</si>
  <si>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</si>
  <si>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</si>
  <si>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</si>
  <si>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</si>
  <si>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</si>
  <si>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</si>
  <si>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</si>
  <si>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</si>
  <si>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</si>
  <si>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</si>
  <si>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</si>
  <si>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</si>
  <si>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</si>
  <si>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</si>
  <si>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</si>
  <si>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</si>
  <si>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</si>
  <si>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</si>
  <si>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</si>
  <si>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</si>
  <si>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</si>
  <si>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</si>
  <si>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</si>
  <si>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</si>
  <si>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</si>
  <si>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</si>
  <si>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</si>
  <si>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</si>
  <si>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</si>
  <si>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</si>
  <si>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</si>
  <si>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</si>
  <si>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</si>
  <si>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</si>
  <si>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</si>
  <si>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</si>
  <si>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</si>
  <si>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</si>
  <si>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</si>
  <si>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</si>
  <si>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</si>
  <si>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</si>
  <si>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</si>
  <si>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</si>
  <si>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</si>
  <si>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</si>
  <si>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</si>
  <si>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</si>
  <si>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</si>
  <si>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</si>
  <si>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</si>
  <si>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</si>
  <si>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</si>
  <si>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</si>
  <si>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</si>
  <si>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</si>
  <si>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</si>
  <si>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</si>
  <si>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</si>
  <si>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</si>
  <si>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</si>
  <si>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</si>
  <si>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</si>
  <si>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</si>
  <si>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</si>
  <si>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</si>
  <si>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</si>
  <si>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</si>
  <si>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</si>
  <si>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</si>
  <si>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</si>
  <si>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</si>
  <si>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</si>
  <si>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</si>
  <si>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</si>
  <si>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</si>
  <si>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</si>
  <si>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</si>
  <si>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</si>
  <si>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</si>
  <si>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</si>
  <si>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</si>
  <si>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</si>
  <si>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</si>
  <si>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</si>
  <si>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</si>
  <si>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</si>
  <si>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</si>
  <si>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</si>
  <si>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</si>
  <si>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</si>
  <si>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</si>
  <si>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</si>
  <si>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</si>
  <si>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</si>
  <si>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</si>
  <si>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</si>
  <si>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</si>
  <si>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</si>
  <si>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</si>
  <si>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</si>
  <si>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</si>
  <si>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</si>
  <si>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</si>
  <si>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</si>
  <si>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</si>
  <si>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</si>
  <si>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</si>
  <si>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</si>
  <si>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</si>
  <si>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</si>
  <si>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</si>
  <si>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</si>
  <si>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</si>
  <si>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</si>
  <si>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</si>
  <si>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</si>
  <si>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</si>
  <si>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</si>
  <si>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</si>
  <si>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</si>
  <si>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</si>
  <si>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</si>
  <si>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</si>
  <si>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</si>
  <si>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</si>
  <si>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</si>
  <si>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</si>
  <si>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</si>
  <si>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</si>
  <si>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</si>
  <si>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</si>
  <si>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</si>
  <si>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</si>
  <si>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</si>
  <si>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</si>
  <si>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</si>
  <si>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</si>
  <si>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</si>
  <si>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</si>
  <si>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</si>
  <si>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</si>
  <si>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</si>
  <si>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</si>
  <si>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</si>
  <si>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</si>
  <si>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</si>
  <si>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</si>
  <si>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</si>
  <si>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</si>
  <si>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</si>
  <si>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</si>
  <si>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</si>
  <si>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</si>
  <si>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</si>
  <si>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</si>
  <si>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</si>
  <si>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</si>
  <si>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</si>
  <si>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</si>
  <si>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</si>
  <si>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</si>
  <si>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</si>
  <si>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</si>
  <si>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</si>
  <si>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</si>
  <si>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</si>
  <si>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</si>
  <si>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</si>
  <si>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</si>
  <si>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</si>
  <si>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</si>
  <si>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</si>
  <si>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</si>
  <si>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</si>
  <si>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</si>
  <si>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</si>
  <si>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</si>
  <si>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</si>
  <si>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</si>
  <si>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</si>
  <si>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</si>
  <si>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</si>
  <si>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</si>
  <si>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</si>
  <si>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</si>
  <si>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</si>
  <si>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</si>
  <si>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</si>
  <si>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</si>
  <si>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</si>
  <si>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</si>
  <si>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</si>
  <si>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</si>
  <si>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</si>
  <si>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</si>
  <si>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</si>
  <si>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</si>
  <si>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</si>
  <si>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</si>
  <si>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</si>
  <si>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</si>
  <si>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</si>
  <si>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</si>
  <si>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</si>
  <si>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</si>
  <si>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</si>
  <si>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</si>
  <si>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</si>
  <si>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</si>
  <si>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</si>
  <si>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</si>
  <si>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</si>
  <si>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</si>
  <si>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</si>
  <si>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</si>
  <si>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</si>
  <si>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</si>
  <si>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</si>
  <si>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</si>
  <si>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</si>
  <si>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</si>
  <si>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</si>
  <si>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</si>
  <si>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</si>
  <si>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</si>
  <si>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</si>
  <si>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</si>
  <si>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</si>
  <si>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</si>
  <si>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</si>
  <si>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</si>
  <si>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</si>
  <si>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</si>
  <si>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</si>
  <si>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</si>
  <si>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</si>
  <si>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</si>
  <si>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</si>
  <si>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</si>
  <si>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</si>
  <si>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</si>
  <si>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</si>
  <si>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</si>
  <si>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</si>
  <si>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</si>
  <si>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</si>
  <si>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</si>
  <si>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</si>
  <si>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</si>
  <si>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</si>
  <si>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</si>
  <si>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</si>
  <si>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</si>
  <si>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</si>
  <si>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</si>
  <si>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</si>
  <si>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</si>
  <si>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</si>
  <si>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</si>
  <si>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</si>
  <si>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</si>
  <si>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</si>
  <si>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</si>
  <si>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</si>
  <si>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</si>
  <si>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</si>
  <si>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</si>
  <si>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</si>
  <si>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</si>
  <si>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</si>
  <si>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Daily Trends for no of patient</t>
  </si>
  <si>
    <t>Average wait time</t>
  </si>
  <si>
    <t>Satisfaction Rate</t>
  </si>
  <si>
    <t>Admitted</t>
  </si>
  <si>
    <t>Not Admitted</t>
  </si>
  <si>
    <t>Count of Patient Admission Flag</t>
  </si>
  <si>
    <t>Count of Patient Admission Flag2</t>
  </si>
  <si>
    <t>Admission Status</t>
  </si>
  <si>
    <t>No of patients</t>
  </si>
  <si>
    <t>% Status</t>
  </si>
  <si>
    <t>0-09</t>
  </si>
  <si>
    <t>10-19</t>
  </si>
  <si>
    <t>20-29</t>
  </si>
  <si>
    <t>30-39</t>
  </si>
  <si>
    <t>40-49</t>
  </si>
  <si>
    <t>50-59</t>
  </si>
  <si>
    <t>60-69</t>
  </si>
  <si>
    <t>70-79</t>
  </si>
  <si>
    <t>Count of Age Group</t>
  </si>
  <si>
    <t>Age Group wise analysis</t>
  </si>
  <si>
    <t>Count of Patient attend Status</t>
  </si>
  <si>
    <t>On Time</t>
  </si>
  <si>
    <t>Delay</t>
  </si>
  <si>
    <t>Count of Patient Gender</t>
  </si>
  <si>
    <t>Female</t>
  </si>
  <si>
    <t>Male</t>
  </si>
  <si>
    <t>Cardiology</t>
  </si>
  <si>
    <t>Gastroenterology</t>
  </si>
  <si>
    <t>General Practice</t>
  </si>
  <si>
    <t>Neurology</t>
  </si>
  <si>
    <t>None</t>
  </si>
  <si>
    <t>Orthopedics</t>
  </si>
  <si>
    <t>Physiotherapy</t>
  </si>
  <si>
    <t>Renal</t>
  </si>
  <si>
    <t>Count of Department Referral</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</si>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</sst>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1"/>
      <color rgb="FFC00000"/>
      <name val="Calibri"/>
      <family val="2"/>
      <scheme val="minor"/>
    </font>
    <font>
      <sz val="11"/>
      <color rgb="FFFFFFC5"/>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2" borderId="0" xfId="0" applyFont="1" applyFill="1"/>
    <xf numFmtId="0" fontId="1" fillId="2" borderId="0" xfId="0" applyFont="1" applyFill="1"/>
    <xf numFmtId="10" fontId="0" fillId="0" borderId="0" xfId="0" applyNumberFormat="1"/>
    <xf numFmtId="0" fontId="3" fillId="3" borderId="0" xfId="0" applyFont="1" applyFill="1" applyAlignment="1">
      <alignment horizontal="center"/>
    </xf>
    <xf numFmtId="0" fontId="3" fillId="0" borderId="0" xfId="0" applyFont="1" applyAlignment="1">
      <alignment horizontal="center"/>
    </xf>
    <xf numFmtId="0" fontId="3" fillId="2" borderId="0" xfId="0" applyFont="1" applyFill="1" applyAlignment="1">
      <alignment horizontal="center"/>
    </xf>
    <xf numFmtId="10" fontId="3" fillId="2" borderId="0" xfId="0" applyNumberFormat="1" applyFont="1" applyFill="1" applyAlignment="1">
      <alignment horizontal="center"/>
    </xf>
    <xf numFmtId="1" fontId="0" fillId="0" borderId="0" xfId="0" applyNumberFormat="1"/>
  </cellXfs>
  <cellStyles count="1">
    <cellStyle name="Normal" xfId="0" builtinId="0"/>
  </cellStyles>
  <dxfs count="21">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font>
        <sz val="6"/>
        <color theme="1" tint="0.14996795556505021"/>
        <name val="Calibri"/>
        <family val="2"/>
        <scheme val="minor"/>
      </font>
      <fill>
        <patternFill>
          <bgColor theme="1" tint="0.14996795556505021"/>
        </patternFill>
      </fill>
      <border diagonalUp="0" diagonalDown="0">
        <left/>
        <right/>
        <top/>
        <bottom/>
        <vertical/>
        <horizontal/>
      </border>
    </dxf>
    <dxf>
      <font>
        <sz val="7"/>
        <color theme="0"/>
        <name val="Calibri"/>
        <family val="2"/>
        <scheme val="minor"/>
      </font>
      <fill>
        <patternFill>
          <bgColor theme="1" tint="0.14996795556505021"/>
        </patternFill>
      </fill>
      <border diagonalUp="0" diagonalDown="0">
        <left/>
        <right/>
        <top/>
        <bottom/>
        <vertical/>
        <horizontal/>
      </border>
    </dxf>
  </dxfs>
  <tableStyles count="2" defaultTableStyle="TableStyleMedium2" defaultPivotStyle="PivotStyleLight16">
    <tableStyle name="Slicer Style 1" pivot="0" table="0" count="4" xr9:uid="{478F1F8E-6EE2-4E9E-A431-A0CB78281D67}">
      <tableStyleElement type="wholeTable" dxfId="20"/>
    </tableStyle>
    <tableStyle name="Slicer Style 2" pivot="0" table="0" count="4" xr9:uid="{7D62BF8C-6CC3-4EB4-9773-9DF82991CFFE}">
      <tableStyleElement type="wholeTable" dxfId="19"/>
    </tableStyle>
  </tableStyles>
  <colors>
    <mruColors>
      <color rgb="FFFFFFC5"/>
      <color rgb="FFDBDB2D"/>
      <color rgb="FF66FF66"/>
      <color rgb="FFE6004D"/>
      <color rgb="FFA0AB13"/>
      <color rgb="FF28E07B"/>
    </mruColors>
  </colors>
  <extLst>
    <ext xmlns:x14="http://schemas.microsoft.com/office/spreadsheetml/2009/9/main" uri="{46F421CA-312F-682f-3DD2-61675219B42D}">
      <x14:dxfs count="6">
        <dxf>
          <fill>
            <patternFill>
              <bgColor theme="9" tint="0.39994506668294322"/>
            </patternFill>
          </fill>
        </dxf>
        <dxf>
          <font>
            <b/>
            <i val="0"/>
            <sz val="6"/>
            <color theme="1" tint="0.14990691854609822"/>
            <name val="Calibri"/>
            <family val="2"/>
            <scheme val="minor"/>
          </font>
          <fill>
            <patternFill>
              <bgColor rgb="FFFFFFC5"/>
            </patternFill>
          </fill>
        </dxf>
        <dxf>
          <fill>
            <patternFill>
              <bgColor theme="9" tint="0.39994506668294322"/>
            </patternFill>
          </fill>
        </dxf>
        <dxf>
          <fill>
            <patternFill>
              <bgColor rgb="FF92D050"/>
            </patternFill>
          </fill>
          <border>
            <left style="thick">
              <color rgb="FF92D050"/>
            </left>
            <right style="thick">
              <color rgb="FF92D050"/>
            </right>
            <top style="thick">
              <color rgb="FF92D050"/>
            </top>
            <bottom style="thick">
              <color rgb="FF92D050"/>
            </bottom>
          </border>
        </dxf>
        <dxf>
          <font>
            <b/>
            <i val="0"/>
            <sz val="8"/>
            <color theme="1" tint="0.14996795556505021"/>
            <name val="Calibri"/>
            <family val="2"/>
            <scheme val="minor"/>
          </font>
          <fill>
            <patternFill patternType="solid">
              <bgColor rgb="FFFFFFC5"/>
            </patternFill>
          </fill>
          <border diagonalUp="0" diagonalDown="0">
            <left/>
            <right/>
            <top/>
            <bottom/>
            <vertical/>
            <horizontal/>
          </border>
        </dxf>
        <dxf>
          <font>
            <b/>
            <i val="0"/>
            <sz val="8"/>
            <color theme="1"/>
            <name val="Calibri"/>
            <family val="2"/>
            <scheme val="minor"/>
          </font>
          <fill>
            <patternFill>
              <bgColor rgb="FFFFFFC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Report!PivotTable4</c:name>
    <c:fmtId val="11"/>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FFFF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7550517181759743"/>
                  <c:h val="0.41947538706601478"/>
                </c:manualLayout>
              </c15:layout>
              <c15:showDataLabelsRange val="1"/>
            </c:ext>
          </c:extLst>
        </c:dLbl>
      </c:pivotFmt>
      <c:pivotFmt>
        <c:idx val="3"/>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FFFF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5339991598842404"/>
                  <c:h val="0.34947555241995487"/>
                </c:manualLayout>
              </c15:layout>
              <c15:showDataLabelsRange val="1"/>
            </c:ext>
          </c:extLst>
        </c:dLbl>
      </c:pivotFmt>
    </c:pivotFmts>
    <c:plotArea>
      <c:layout>
        <c:manualLayout>
          <c:layoutTarget val="inner"/>
          <c:xMode val="edge"/>
          <c:yMode val="edge"/>
          <c:x val="5.5050789871267346E-2"/>
          <c:y val="8.4658461436705273E-2"/>
          <c:w val="0.80947313284047218"/>
          <c:h val="0.74034195194814489"/>
        </c:manualLayout>
      </c:layout>
      <c:barChart>
        <c:barDir val="bar"/>
        <c:grouping val="clustered"/>
        <c:varyColors val="0"/>
        <c:ser>
          <c:idx val="0"/>
          <c:order val="0"/>
          <c:tx>
            <c:strRef>
              <c:f>'Pivot Report'!$B$373</c:f>
              <c:strCache>
                <c:ptCount val="1"/>
                <c:pt idx="0">
                  <c:v>Count of Patient Admission Flag</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0-513A-47A3-B9CA-2B1B16A1F8DF}"/>
              </c:ext>
            </c:extLst>
          </c:dPt>
          <c:dPt>
            <c:idx val="1"/>
            <c:invertIfNegative val="0"/>
            <c:bubble3D val="0"/>
            <c:extLst>
              <c:ext xmlns:c16="http://schemas.microsoft.com/office/drawing/2014/chart" uri="{C3380CC4-5D6E-409C-BE32-E72D297353CC}">
                <c16:uniqueId val="{00000001-513A-47A3-B9CA-2B1B16A1F8DF}"/>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FFFF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5339991598842404"/>
                      <c:h val="0.34947555241995487"/>
                    </c:manualLayout>
                  </c15:layout>
                  <c15:showDataLabelsRange val="1"/>
                </c:ext>
                <c:ext xmlns:c16="http://schemas.microsoft.com/office/drawing/2014/chart" uri="{C3380CC4-5D6E-409C-BE32-E72D297353CC}">
                  <c16:uniqueId val="{00000000-513A-47A3-B9CA-2B1B16A1F8DF}"/>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FFFF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7550517181759743"/>
                      <c:h val="0.41947538706601478"/>
                    </c:manualLayout>
                  </c15:layout>
                  <c15:showDataLabelsRange val="1"/>
                </c:ext>
                <c:ext xmlns:c16="http://schemas.microsoft.com/office/drawing/2014/chart" uri="{C3380CC4-5D6E-409C-BE32-E72D297353CC}">
                  <c16:uniqueId val="{00000001-513A-47A3-B9CA-2B1B16A1F8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C5"/>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Report'!$A$374:$A$376</c:f>
              <c:strCache>
                <c:ptCount val="2"/>
                <c:pt idx="0">
                  <c:v>Admitted</c:v>
                </c:pt>
                <c:pt idx="1">
                  <c:v>Not Admitted</c:v>
                </c:pt>
              </c:strCache>
            </c:strRef>
          </c:cat>
          <c:val>
            <c:numRef>
              <c:f>'Pivot Report'!$B$374:$B$376</c:f>
              <c:numCache>
                <c:formatCode>0.00</c:formatCode>
                <c:ptCount val="2"/>
                <c:pt idx="0">
                  <c:v>4612</c:v>
                </c:pt>
                <c:pt idx="1">
                  <c:v>4604</c:v>
                </c:pt>
              </c:numCache>
            </c:numRef>
          </c:val>
          <c:extLst>
            <c:ext xmlns:c16="http://schemas.microsoft.com/office/drawing/2014/chart" uri="{C3380CC4-5D6E-409C-BE32-E72D297353CC}">
              <c16:uniqueId val="{00000003-5795-4983-B4BC-CFC3566CEC33}"/>
            </c:ext>
          </c:extLst>
        </c:ser>
        <c:ser>
          <c:idx val="1"/>
          <c:order val="1"/>
          <c:tx>
            <c:strRef>
              <c:f>'Pivot Report'!$C$373</c:f>
              <c:strCache>
                <c:ptCount val="1"/>
                <c:pt idx="0">
                  <c:v>Count of Patient Admission Flag2</c:v>
                </c:pt>
              </c:strCache>
            </c:strRef>
          </c:tx>
          <c:spPr>
            <a:solidFill>
              <a:schemeClr val="tx1">
                <a:lumMod val="85000"/>
                <a:lumOff val="15000"/>
              </a:schemeClr>
            </a:solidFill>
            <a:ln>
              <a:noFill/>
            </a:ln>
            <a:effectLst/>
          </c:spPr>
          <c:invertIfNegative val="0"/>
          <c:cat>
            <c:strRef>
              <c:f>'Pivot Report'!$A$374:$A$376</c:f>
              <c:strCache>
                <c:ptCount val="2"/>
                <c:pt idx="0">
                  <c:v>Admitted</c:v>
                </c:pt>
                <c:pt idx="1">
                  <c:v>Not Admitted</c:v>
                </c:pt>
              </c:strCache>
            </c:strRef>
          </c:cat>
          <c:val>
            <c:numRef>
              <c:f>'Pivot Report'!$C$374:$C$376</c:f>
              <c:numCache>
                <c:formatCode>0.00%</c:formatCode>
                <c:ptCount val="2"/>
                <c:pt idx="0">
                  <c:v>0.50043402777777779</c:v>
                </c:pt>
                <c:pt idx="1">
                  <c:v>0.49956597222222221</c:v>
                </c:pt>
              </c:numCache>
            </c:numRef>
          </c:val>
          <c:extLst>
            <c:ext xmlns:c16="http://schemas.microsoft.com/office/drawing/2014/chart" uri="{C3380CC4-5D6E-409C-BE32-E72D297353CC}">
              <c16:uniqueId val="{00000004-5795-4983-B4BC-CFC3566CEC33}"/>
            </c:ext>
          </c:extLst>
        </c:ser>
        <c:dLbls>
          <c:showLegendKey val="0"/>
          <c:showVal val="0"/>
          <c:showCatName val="0"/>
          <c:showSerName val="0"/>
          <c:showPercent val="0"/>
          <c:showBubbleSize val="0"/>
        </c:dLbls>
        <c:gapWidth val="0"/>
        <c:axId val="1996963824"/>
        <c:axId val="1996964240"/>
      </c:barChart>
      <c:catAx>
        <c:axId val="1996963824"/>
        <c:scaling>
          <c:orientation val="minMax"/>
        </c:scaling>
        <c:delete val="1"/>
        <c:axPos val="l"/>
        <c:numFmt formatCode="General" sourceLinked="1"/>
        <c:majorTickMark val="none"/>
        <c:minorTickMark val="none"/>
        <c:tickLblPos val="nextTo"/>
        <c:crossAx val="1996964240"/>
        <c:crosses val="autoZero"/>
        <c:auto val="1"/>
        <c:lblAlgn val="ctr"/>
        <c:lblOffset val="100"/>
        <c:noMultiLvlLbl val="0"/>
      </c:catAx>
      <c:valAx>
        <c:axId val="1996964240"/>
        <c:scaling>
          <c:orientation val="minMax"/>
        </c:scaling>
        <c:delete val="1"/>
        <c:axPos val="b"/>
        <c:numFmt formatCode="0.00" sourceLinked="1"/>
        <c:majorTickMark val="none"/>
        <c:minorTickMark val="none"/>
        <c:tickLblPos val="nextTo"/>
        <c:crossAx val="199696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rgbClr val="FFFF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30336324238534E-2"/>
          <c:y val="0.10416666666666667"/>
          <c:w val="0.84664362448879937"/>
          <c:h val="0.71833005249343829"/>
        </c:manualLayout>
      </c:layout>
      <c:areaChart>
        <c:grouping val="standard"/>
        <c:varyColors val="0"/>
        <c:ser>
          <c:idx val="0"/>
          <c:order val="0"/>
          <c:tx>
            <c:strRef>
              <c:f>'Pivot Report'!$D$4</c:f>
              <c:strCache>
                <c:ptCount val="1"/>
                <c:pt idx="0">
                  <c:v>Total</c:v>
                </c:pt>
              </c:strCache>
            </c:strRef>
          </c:tx>
          <c:spPr>
            <a:solidFill>
              <a:schemeClr val="accent6">
                <a:lumMod val="60000"/>
                <a:lumOff val="40000"/>
              </a:schemeClr>
            </a:solidFill>
            <a:ln>
              <a:solidFill>
                <a:srgbClr val="FFFFC5"/>
              </a:solidFill>
            </a:ln>
            <a:effectLst/>
          </c:spPr>
          <c:cat>
            <c:strRef>
              <c:f>'Pivot Report'!$C$5:$C$371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Report'!$D$5:$D$371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1-E91F-45BA-B1AE-F4187032ED2D}"/>
            </c:ext>
          </c:extLst>
        </c:ser>
        <c:dLbls>
          <c:showLegendKey val="0"/>
          <c:showVal val="0"/>
          <c:showCatName val="0"/>
          <c:showSerName val="0"/>
          <c:showPercent val="0"/>
          <c:showBubbleSize val="0"/>
        </c:dLbls>
        <c:axId val="1007468431"/>
        <c:axId val="1007470095"/>
      </c:areaChart>
      <c:catAx>
        <c:axId val="1007468431"/>
        <c:scaling>
          <c:orientation val="minMax"/>
        </c:scaling>
        <c:delete val="1"/>
        <c:axPos val="b"/>
        <c:numFmt formatCode="General" sourceLinked="1"/>
        <c:majorTickMark val="out"/>
        <c:minorTickMark val="none"/>
        <c:tickLblPos val="nextTo"/>
        <c:crossAx val="1007470095"/>
        <c:crosses val="autoZero"/>
        <c:auto val="1"/>
        <c:lblAlgn val="ctr"/>
        <c:lblOffset val="100"/>
        <c:noMultiLvlLbl val="0"/>
      </c:catAx>
      <c:valAx>
        <c:axId val="1007470095"/>
        <c:scaling>
          <c:orientation val="minMax"/>
        </c:scaling>
        <c:delete val="1"/>
        <c:axPos val="l"/>
        <c:numFmt formatCode="General" sourceLinked="1"/>
        <c:majorTickMark val="none"/>
        <c:minorTickMark val="none"/>
        <c:tickLblPos val="nextTo"/>
        <c:crossAx val="100746843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rgbClr val="FFFF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84341318106805E-2"/>
          <c:y val="0.17156862745098039"/>
          <c:w val="0.81889972388399679"/>
          <c:h val="0.55882352941176472"/>
        </c:manualLayout>
      </c:layout>
      <c:areaChart>
        <c:grouping val="standard"/>
        <c:varyColors val="0"/>
        <c:ser>
          <c:idx val="0"/>
          <c:order val="0"/>
          <c:tx>
            <c:strRef>
              <c:f>'Pivot Report'!$G$4</c:f>
              <c:strCache>
                <c:ptCount val="1"/>
                <c:pt idx="0">
                  <c:v>Total</c:v>
                </c:pt>
              </c:strCache>
            </c:strRef>
          </c:tx>
          <c:spPr>
            <a:solidFill>
              <a:schemeClr val="accent6">
                <a:lumMod val="60000"/>
                <a:lumOff val="40000"/>
              </a:schemeClr>
            </a:solidFill>
            <a:ln>
              <a:solidFill>
                <a:srgbClr val="FFFFC5"/>
              </a:solidFill>
            </a:ln>
            <a:effectLst/>
          </c:spPr>
          <c:cat>
            <c:strRef>
              <c:f>'Pivot Report'!$F$5:$F$371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Report'!$G$5:$G$371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1-865B-4EF2-9C38-29D97A108FFE}"/>
            </c:ext>
          </c:extLst>
        </c:ser>
        <c:dLbls>
          <c:showLegendKey val="0"/>
          <c:showVal val="0"/>
          <c:showCatName val="0"/>
          <c:showSerName val="0"/>
          <c:showPercent val="0"/>
          <c:showBubbleSize val="0"/>
        </c:dLbls>
        <c:axId val="111307759"/>
        <c:axId val="111311919"/>
      </c:areaChart>
      <c:catAx>
        <c:axId val="111307759"/>
        <c:scaling>
          <c:orientation val="minMax"/>
        </c:scaling>
        <c:delete val="1"/>
        <c:axPos val="b"/>
        <c:numFmt formatCode="General" sourceLinked="1"/>
        <c:majorTickMark val="out"/>
        <c:minorTickMark val="none"/>
        <c:tickLblPos val="nextTo"/>
        <c:crossAx val="111311919"/>
        <c:crosses val="autoZero"/>
        <c:auto val="1"/>
        <c:lblAlgn val="ctr"/>
        <c:lblOffset val="100"/>
        <c:noMultiLvlLbl val="0"/>
      </c:catAx>
      <c:valAx>
        <c:axId val="111311919"/>
        <c:scaling>
          <c:orientation val="minMax"/>
        </c:scaling>
        <c:delete val="1"/>
        <c:axPos val="l"/>
        <c:numFmt formatCode="0.00" sourceLinked="1"/>
        <c:majorTickMark val="none"/>
        <c:minorTickMark val="none"/>
        <c:tickLblPos val="nextTo"/>
        <c:crossAx val="1113077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rgbClr val="FFFF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13929941062407E-2"/>
          <c:y val="5.6818097085872876E-2"/>
          <c:w val="0.9069149261060877"/>
          <c:h val="0.73484888026592654"/>
        </c:manualLayout>
      </c:layout>
      <c:areaChart>
        <c:grouping val="standard"/>
        <c:varyColors val="0"/>
        <c:ser>
          <c:idx val="0"/>
          <c:order val="0"/>
          <c:tx>
            <c:strRef>
              <c:f>'Pivot Report'!$J$4</c:f>
              <c:strCache>
                <c:ptCount val="1"/>
                <c:pt idx="0">
                  <c:v>Total</c:v>
                </c:pt>
              </c:strCache>
            </c:strRef>
          </c:tx>
          <c:spPr>
            <a:solidFill>
              <a:schemeClr val="accent6">
                <a:lumMod val="60000"/>
                <a:lumOff val="40000"/>
              </a:schemeClr>
            </a:solidFill>
            <a:ln>
              <a:solidFill>
                <a:srgbClr val="FFFFC5"/>
              </a:solidFill>
            </a:ln>
            <a:effectLst/>
          </c:spPr>
          <c:cat>
            <c:strRef>
              <c:f>'Pivot Report'!$I$5:$I$368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Report'!$J$5:$J$368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1-7AC3-45C9-8E77-D6AEB3E74CC6}"/>
            </c:ext>
          </c:extLst>
        </c:ser>
        <c:dLbls>
          <c:showLegendKey val="0"/>
          <c:showVal val="0"/>
          <c:showCatName val="0"/>
          <c:showSerName val="0"/>
          <c:showPercent val="0"/>
          <c:showBubbleSize val="0"/>
        </c:dLbls>
        <c:axId val="289182511"/>
        <c:axId val="289193327"/>
      </c:areaChart>
      <c:catAx>
        <c:axId val="289182511"/>
        <c:scaling>
          <c:orientation val="minMax"/>
        </c:scaling>
        <c:delete val="1"/>
        <c:axPos val="b"/>
        <c:numFmt formatCode="General" sourceLinked="1"/>
        <c:majorTickMark val="out"/>
        <c:minorTickMark val="none"/>
        <c:tickLblPos val="nextTo"/>
        <c:crossAx val="289193327"/>
        <c:crosses val="autoZero"/>
        <c:auto val="1"/>
        <c:lblAlgn val="ctr"/>
        <c:lblOffset val="100"/>
        <c:noMultiLvlLbl val="0"/>
      </c:catAx>
      <c:valAx>
        <c:axId val="289193327"/>
        <c:scaling>
          <c:orientation val="minMax"/>
        </c:scaling>
        <c:delete val="1"/>
        <c:axPos val="l"/>
        <c:numFmt formatCode="0.00" sourceLinked="1"/>
        <c:majorTickMark val="none"/>
        <c:minorTickMark val="none"/>
        <c:tickLblPos val="nextTo"/>
        <c:crossAx val="2891825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Report'!$B$387</c:f>
              <c:strCache>
                <c:ptCount val="1"/>
                <c:pt idx="0">
                  <c:v>Total</c:v>
                </c:pt>
              </c:strCache>
            </c:strRef>
          </c:tx>
          <c:spPr>
            <a:solidFill>
              <a:srgbClr val="FFFF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Report'!$A$388:$A$396</c:f>
              <c:strCache>
                <c:ptCount val="8"/>
                <c:pt idx="0">
                  <c:v>0-09</c:v>
                </c:pt>
                <c:pt idx="1">
                  <c:v>10-19</c:v>
                </c:pt>
                <c:pt idx="2">
                  <c:v>20-29</c:v>
                </c:pt>
                <c:pt idx="3">
                  <c:v>30-39</c:v>
                </c:pt>
                <c:pt idx="4">
                  <c:v>40-49</c:v>
                </c:pt>
                <c:pt idx="5">
                  <c:v>50-59</c:v>
                </c:pt>
                <c:pt idx="6">
                  <c:v>60-69</c:v>
                </c:pt>
                <c:pt idx="7">
                  <c:v>70-79</c:v>
                </c:pt>
              </c:strCache>
            </c:strRef>
          </c:cat>
          <c:val>
            <c:numRef>
              <c:f>'Pivot Report'!$B$388:$B$396</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1-6FB3-4A4A-B974-6483A7406FCA}"/>
            </c:ext>
          </c:extLst>
        </c:ser>
        <c:dLbls>
          <c:showLegendKey val="0"/>
          <c:showVal val="0"/>
          <c:showCatName val="0"/>
          <c:showSerName val="0"/>
          <c:showPercent val="0"/>
          <c:showBubbleSize val="0"/>
        </c:dLbls>
        <c:gapWidth val="219"/>
        <c:overlap val="-27"/>
        <c:axId val="1332104639"/>
        <c:axId val="1332105471"/>
      </c:barChart>
      <c:catAx>
        <c:axId val="1332104639"/>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600" b="0" i="0" u="none" strike="noStrike" kern="1200" baseline="0">
                <a:solidFill>
                  <a:schemeClr val="accent6">
                    <a:lumMod val="60000"/>
                    <a:lumOff val="40000"/>
                  </a:schemeClr>
                </a:solidFill>
                <a:latin typeface="+mn-lt"/>
                <a:ea typeface="+mn-ea"/>
                <a:cs typeface="+mn-cs"/>
              </a:defRPr>
            </a:pPr>
            <a:endParaRPr lang="en-US"/>
          </a:p>
        </c:txPr>
        <c:crossAx val="1332105471"/>
        <c:crosses val="autoZero"/>
        <c:auto val="1"/>
        <c:lblAlgn val="ctr"/>
        <c:lblOffset val="100"/>
        <c:noMultiLvlLbl val="0"/>
      </c:catAx>
      <c:valAx>
        <c:axId val="1332105471"/>
        <c:scaling>
          <c:orientation val="minMax"/>
        </c:scaling>
        <c:delete val="1"/>
        <c:axPos val="l"/>
        <c:numFmt formatCode="0" sourceLinked="1"/>
        <c:majorTickMark val="none"/>
        <c:minorTickMark val="none"/>
        <c:tickLblPos val="nextTo"/>
        <c:crossAx val="133210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Report!PivotTable10</c:name>
    <c:fmtId val="1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0"/>
            <a:lstStyle/>
            <a:p>
              <a:pPr algn="ctr">
                <a:defRPr lang="en-US" sz="7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FC5"/>
          </a:solidFill>
          <a:ln>
            <a:noFill/>
          </a:ln>
          <a:effectLst>
            <a:outerShdw blurRad="254000" sx="102000" sy="102000" algn="ctr" rotWithShape="0">
              <a:prstClr val="black">
                <a:alpha val="20000"/>
              </a:prstClr>
            </a:outerShdw>
          </a:effectLst>
        </c:spPr>
      </c:pivotFmt>
      <c:pivotFmt>
        <c:idx val="6"/>
        <c:spPr>
          <a:solidFill>
            <a:schemeClr val="accent6">
              <a:lumMod val="60000"/>
              <a:lumOff val="4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331182767577075"/>
          <c:y val="0.14178383952005999"/>
          <c:w val="0.61651304315134425"/>
          <c:h val="0.70710254968128972"/>
        </c:manualLayout>
      </c:layout>
      <c:pieChart>
        <c:varyColors val="1"/>
        <c:ser>
          <c:idx val="0"/>
          <c:order val="0"/>
          <c:tx>
            <c:strRef>
              <c:f>'Pivot Report'!$B$400</c:f>
              <c:strCache>
                <c:ptCount val="1"/>
                <c:pt idx="0">
                  <c:v>Total</c:v>
                </c:pt>
              </c:strCache>
            </c:strRef>
          </c:tx>
          <c:dPt>
            <c:idx val="0"/>
            <c:bubble3D val="0"/>
            <c:spPr>
              <a:solidFill>
                <a:srgbClr val="FFFFC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31-4F55-9C2C-B4FAEF9F7293}"/>
              </c:ext>
            </c:extLst>
          </c:dPt>
          <c:dPt>
            <c:idx val="1"/>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31-4F55-9C2C-B4FAEF9F72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0"/>
              <a:lstStyle/>
              <a:p>
                <a:pPr algn="ctr">
                  <a:defRPr lang="en-US" sz="7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Report'!$A$401:$A$403</c:f>
              <c:strCache>
                <c:ptCount val="2"/>
                <c:pt idx="0">
                  <c:v>Delay</c:v>
                </c:pt>
                <c:pt idx="1">
                  <c:v>On Time</c:v>
                </c:pt>
              </c:strCache>
            </c:strRef>
          </c:cat>
          <c:val>
            <c:numRef>
              <c:f>'Pivot Report'!$B$401:$B$403</c:f>
              <c:numCache>
                <c:formatCode>0</c:formatCode>
                <c:ptCount val="2"/>
                <c:pt idx="0">
                  <c:v>5467</c:v>
                </c:pt>
                <c:pt idx="1">
                  <c:v>3749</c:v>
                </c:pt>
              </c:numCache>
            </c:numRef>
          </c:val>
          <c:extLst>
            <c:ext xmlns:c16="http://schemas.microsoft.com/office/drawing/2014/chart" uri="{C3380CC4-5D6E-409C-BE32-E72D297353CC}">
              <c16:uniqueId val="{00000005-512B-444C-98D5-75F2E16F1D2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noFill/>
                </a:ln>
                <a:solidFill>
                  <a:schemeClr val="accent6">
                    <a:lumMod val="60000"/>
                    <a:lumOff val="4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ln>
                  <a:noFill/>
                </a:ln>
                <a:solidFill>
                  <a:srgbClr val="FFFFC5"/>
                </a:solidFill>
                <a:latin typeface="+mn-lt"/>
                <a:ea typeface="+mn-ea"/>
                <a:cs typeface="+mn-cs"/>
              </a:defRPr>
            </a:pPr>
            <a:endParaRPr lang="en-US"/>
          </a:p>
        </c:txPr>
      </c:legendEntry>
      <c:layout>
        <c:manualLayout>
          <c:xMode val="edge"/>
          <c:yMode val="edge"/>
          <c:x val="7.5496678706788667E-2"/>
          <c:y val="3.5269047534632727E-3"/>
          <c:w val="0.81079461960812516"/>
          <c:h val="0.14881514810648669"/>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Report!PivotTable11</c:name>
    <c:fmtId val="22"/>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FC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50592963090999"/>
                  <c:h val="0.17368506258200414"/>
                </c:manualLayout>
              </c15:layout>
            </c:ext>
          </c:extLst>
        </c:dLbl>
      </c:pivotFmt>
      <c:pivotFmt>
        <c:idx val="6"/>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627200796795413"/>
                  <c:h val="0.16173151388399973"/>
                </c:manualLayout>
              </c15:layout>
            </c:ext>
          </c:extLst>
        </c:dLbl>
      </c:pivotFmt>
    </c:pivotFmts>
    <c:plotArea>
      <c:layout>
        <c:manualLayout>
          <c:layoutTarget val="inner"/>
          <c:xMode val="edge"/>
          <c:yMode val="edge"/>
          <c:x val="0.20004511738664457"/>
          <c:y val="0.14614035184806007"/>
          <c:w val="0.60756506187759995"/>
          <c:h val="0.68808486854119744"/>
        </c:manualLayout>
      </c:layout>
      <c:doughnutChart>
        <c:varyColors val="1"/>
        <c:ser>
          <c:idx val="0"/>
          <c:order val="0"/>
          <c:tx>
            <c:strRef>
              <c:f>'Pivot Report'!$B$407</c:f>
              <c:strCache>
                <c:ptCount val="1"/>
                <c:pt idx="0">
                  <c:v>Total</c:v>
                </c:pt>
              </c:strCache>
            </c:strRef>
          </c:tx>
          <c:dPt>
            <c:idx val="0"/>
            <c:bubble3D val="0"/>
            <c:spPr>
              <a:solidFill>
                <a:srgbClr val="FFFFC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70-4621-873C-A4D656B2B902}"/>
              </c:ext>
            </c:extLst>
          </c:dPt>
          <c:dPt>
            <c:idx val="1"/>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70-4621-873C-A4D656B2B902}"/>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50592963090999"/>
                      <c:h val="0.17368506258200414"/>
                    </c:manualLayout>
                  </c15:layout>
                </c:ext>
                <c:ext xmlns:c16="http://schemas.microsoft.com/office/drawing/2014/chart" uri="{C3380CC4-5D6E-409C-BE32-E72D297353CC}">
                  <c16:uniqueId val="{00000001-4670-4621-873C-A4D656B2B902}"/>
                </c:ext>
              </c:extLst>
            </c:dLbl>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627200796795413"/>
                      <c:h val="0.16173151388399973"/>
                    </c:manualLayout>
                  </c15:layout>
                </c:ext>
                <c:ext xmlns:c16="http://schemas.microsoft.com/office/drawing/2014/chart" uri="{C3380CC4-5D6E-409C-BE32-E72D297353CC}">
                  <c16:uniqueId val="{00000003-4670-4621-873C-A4D656B2B90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Report'!$A$408:$A$410</c:f>
              <c:strCache>
                <c:ptCount val="2"/>
                <c:pt idx="0">
                  <c:v>Female</c:v>
                </c:pt>
                <c:pt idx="1">
                  <c:v>Male</c:v>
                </c:pt>
              </c:strCache>
            </c:strRef>
          </c:cat>
          <c:val>
            <c:numRef>
              <c:f>'Pivot Report'!$B$408:$B$410</c:f>
              <c:numCache>
                <c:formatCode>0.00</c:formatCode>
                <c:ptCount val="2"/>
                <c:pt idx="0">
                  <c:v>4487</c:v>
                </c:pt>
                <c:pt idx="1">
                  <c:v>4729</c:v>
                </c:pt>
              </c:numCache>
            </c:numRef>
          </c:val>
          <c:extLst>
            <c:ext xmlns:c16="http://schemas.microsoft.com/office/drawing/2014/chart" uri="{C3380CC4-5D6E-409C-BE32-E72D297353CC}">
              <c16:uniqueId val="{00000005-169D-459D-8E1E-8F28EB4D42EB}"/>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accent6">
                    <a:lumMod val="60000"/>
                    <a:lumOff val="4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rgbClr val="FFFFC5"/>
                </a:solidFill>
                <a:latin typeface="+mn-lt"/>
                <a:ea typeface="+mn-ea"/>
                <a:cs typeface="+mn-cs"/>
              </a:defRPr>
            </a:pPr>
            <a:endParaRPr lang="en-US"/>
          </a:p>
        </c:txPr>
      </c:legendEntry>
      <c:layout>
        <c:manualLayout>
          <c:xMode val="edge"/>
          <c:yMode val="edge"/>
          <c:x val="0.15894268951745572"/>
          <c:y val="4.6503562936605009E-3"/>
          <c:w val="0.68054128581570394"/>
          <c:h val="0.1394894422869491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5"/>
          </a:solidFill>
          <a:ln>
            <a:noFill/>
          </a:ln>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2071373084137"/>
          <c:y val="9.0121764373840813E-2"/>
          <c:w val="0.77607356646397863"/>
          <c:h val="0.81975647125231832"/>
        </c:manualLayout>
      </c:layout>
      <c:barChart>
        <c:barDir val="bar"/>
        <c:grouping val="clustered"/>
        <c:varyColors val="0"/>
        <c:ser>
          <c:idx val="0"/>
          <c:order val="0"/>
          <c:tx>
            <c:strRef>
              <c:f>'Pivot Report'!$B$414</c:f>
              <c:strCache>
                <c:ptCount val="1"/>
                <c:pt idx="0">
                  <c:v>Total</c:v>
                </c:pt>
              </c:strCache>
            </c:strRef>
          </c:tx>
          <c:spPr>
            <a:solidFill>
              <a:srgbClr val="FFFFC5"/>
            </a:solidFill>
            <a:ln>
              <a:noFill/>
            </a:ln>
            <a:effectLst/>
          </c:spPr>
          <c:invertIfNegative val="0"/>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Report'!$A$415:$A$423</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Report'!$B$415:$B$423</c:f>
              <c:numCache>
                <c:formatCode>0.00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1-2B26-4198-A722-8109D777A983}"/>
            </c:ext>
          </c:extLst>
        </c:ser>
        <c:dLbls>
          <c:showLegendKey val="0"/>
          <c:showVal val="0"/>
          <c:showCatName val="0"/>
          <c:showSerName val="0"/>
          <c:showPercent val="0"/>
          <c:showBubbleSize val="0"/>
        </c:dLbls>
        <c:gapWidth val="53"/>
        <c:axId val="1571656960"/>
        <c:axId val="1571657376"/>
      </c:barChart>
      <c:catAx>
        <c:axId val="157165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accent6">
                    <a:lumMod val="60000"/>
                    <a:lumOff val="40000"/>
                  </a:schemeClr>
                </a:solidFill>
                <a:latin typeface="+mn-lt"/>
                <a:ea typeface="+mn-ea"/>
                <a:cs typeface="+mn-cs"/>
              </a:defRPr>
            </a:pPr>
            <a:endParaRPr lang="en-US"/>
          </a:p>
        </c:txPr>
        <c:crossAx val="1571657376"/>
        <c:crosses val="autoZero"/>
        <c:auto val="1"/>
        <c:lblAlgn val="ctr"/>
        <c:lblOffset val="100"/>
        <c:noMultiLvlLbl val="0"/>
      </c:catAx>
      <c:valAx>
        <c:axId val="1571657376"/>
        <c:scaling>
          <c:orientation val="minMax"/>
        </c:scaling>
        <c:delete val="1"/>
        <c:axPos val="b"/>
        <c:numFmt formatCode="0.00" sourceLinked="1"/>
        <c:majorTickMark val="none"/>
        <c:minorTickMark val="none"/>
        <c:tickLblPos val="nextTo"/>
        <c:crossAx val="157165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rgbClr val="FFFFC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537583850408633E-2"/>
          <c:y val="2.9178541553313498E-2"/>
          <c:w val="0.97518109627425087"/>
          <c:h val="0.86427111606354945"/>
        </c:manualLayout>
      </c:layout>
      <c:areaChart>
        <c:grouping val="standard"/>
        <c:varyColors val="0"/>
        <c:ser>
          <c:idx val="0"/>
          <c:order val="0"/>
          <c:tx>
            <c:strRef>
              <c:f>'Pivot Report'!$D$4</c:f>
              <c:strCache>
                <c:ptCount val="1"/>
                <c:pt idx="0">
                  <c:v>Total</c:v>
                </c:pt>
              </c:strCache>
            </c:strRef>
          </c:tx>
          <c:spPr>
            <a:solidFill>
              <a:schemeClr val="accent6">
                <a:lumMod val="60000"/>
                <a:lumOff val="40000"/>
              </a:schemeClr>
            </a:solidFill>
            <a:ln>
              <a:solidFill>
                <a:srgbClr val="FFFFC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Report'!$D$5:$D$371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1-CD28-426E-8AA3-874E7CBEB46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4021311"/>
        <c:axId val="1844022975"/>
      </c:areaChart>
      <c:catAx>
        <c:axId val="1844021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4022975"/>
        <c:crosses val="autoZero"/>
        <c:auto val="1"/>
        <c:lblAlgn val="ctr"/>
        <c:lblOffset val="100"/>
        <c:noMultiLvlLbl val="0"/>
      </c:catAx>
      <c:valAx>
        <c:axId val="1844022975"/>
        <c:scaling>
          <c:orientation val="minMax"/>
        </c:scaling>
        <c:delete val="1"/>
        <c:axPos val="l"/>
        <c:numFmt formatCode="General" sourceLinked="1"/>
        <c:majorTickMark val="out"/>
        <c:minorTickMark val="none"/>
        <c:tickLblPos val="nextTo"/>
        <c:crossAx val="1844021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2700">
            <a:solidFill>
              <a:srgbClr val="FFFFC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287756925826631E-2"/>
          <c:y val="8.7851405622489956E-2"/>
          <c:w val="0.98100983020554067"/>
          <c:h val="0.8113244315846061"/>
        </c:manualLayout>
      </c:layout>
      <c:areaChart>
        <c:grouping val="standard"/>
        <c:varyColors val="0"/>
        <c:ser>
          <c:idx val="0"/>
          <c:order val="0"/>
          <c:tx>
            <c:strRef>
              <c:f>'Pivot Report'!$G$4</c:f>
              <c:strCache>
                <c:ptCount val="1"/>
                <c:pt idx="0">
                  <c:v>Total</c:v>
                </c:pt>
              </c:strCache>
            </c:strRef>
          </c:tx>
          <c:spPr>
            <a:solidFill>
              <a:schemeClr val="accent6">
                <a:lumMod val="60000"/>
                <a:lumOff val="40000"/>
              </a:schemeClr>
            </a:solidFill>
            <a:ln w="12700">
              <a:solidFill>
                <a:srgbClr val="FFFFC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Report'!$G$5:$G$371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1-2E88-484E-B22A-E9E47DE5B4E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1307759"/>
        <c:axId val="111311919"/>
      </c:areaChart>
      <c:catAx>
        <c:axId val="1113077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1311919"/>
        <c:crosses val="autoZero"/>
        <c:auto val="1"/>
        <c:lblAlgn val="ctr"/>
        <c:lblOffset val="100"/>
        <c:noMultiLvlLbl val="0"/>
      </c:catAx>
      <c:valAx>
        <c:axId val="111311919"/>
        <c:scaling>
          <c:orientation val="minMax"/>
        </c:scaling>
        <c:delete val="1"/>
        <c:axPos val="l"/>
        <c:numFmt formatCode="0.00" sourceLinked="1"/>
        <c:majorTickMark val="out"/>
        <c:minorTickMark val="none"/>
        <c:tickLblPos val="nextTo"/>
        <c:crossAx val="111307759"/>
        <c:crosses val="autoZero"/>
        <c:crossBetween val="midCat"/>
      </c:valAx>
      <c:spPr>
        <a:solidFill>
          <a:schemeClr val="tx1">
            <a:lumMod val="85000"/>
            <a:lumOff val="15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[Dashboard_.xlsx]Pivot Report!PivotTable6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rgbClr val="FFFFC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6">
                <a:lumMod val="60000"/>
                <a:lumOff val="40000"/>
              </a:schemeClr>
            </a:solidFill>
            <a:ln>
              <a:solidFill>
                <a:srgbClr val="FFFFC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Report'!$J$5:$J$368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1-C50E-4D90-BADE-4A306601F0C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89182511"/>
        <c:axId val="289193327"/>
      </c:areaChart>
      <c:catAx>
        <c:axId val="2891825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9193327"/>
        <c:crosses val="autoZero"/>
        <c:auto val="1"/>
        <c:lblAlgn val="ctr"/>
        <c:lblOffset val="100"/>
        <c:noMultiLvlLbl val="0"/>
      </c:catAx>
      <c:valAx>
        <c:axId val="289193327"/>
        <c:scaling>
          <c:orientation val="minMax"/>
        </c:scaling>
        <c:delete val="1"/>
        <c:axPos val="l"/>
        <c:numFmt formatCode="0.00" sourceLinked="1"/>
        <c:majorTickMark val="out"/>
        <c:minorTickMark val="none"/>
        <c:tickLblPos val="nextTo"/>
        <c:crossAx val="2891825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image" Target="../media/image5.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hyperlink" Target="#'Daily Er Patient Visi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1188357</xdr:colOff>
      <xdr:row>383</xdr:row>
      <xdr:rowOff>9072</xdr:rowOff>
    </xdr:from>
    <xdr:to>
      <xdr:col>4</xdr:col>
      <xdr:colOff>1778000</xdr:colOff>
      <xdr:row>385</xdr:row>
      <xdr:rowOff>9073</xdr:rowOff>
    </xdr:to>
    <xdr:graphicFrame macro="">
      <xdr:nvGraphicFramePr>
        <xdr:cNvPr id="4" name="Chart 3">
          <a:extLst>
            <a:ext uri="{FF2B5EF4-FFF2-40B4-BE49-F238E27FC236}">
              <a16:creationId xmlns:a16="http://schemas.microsoft.com/office/drawing/2014/main" id="{CD7B9B39-A3C3-4560-BE8D-8D29EE34F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47896</xdr:colOff>
      <xdr:row>0</xdr:row>
      <xdr:rowOff>47895</xdr:rowOff>
    </xdr:from>
    <xdr:to>
      <xdr:col>5</xdr:col>
      <xdr:colOff>239487</xdr:colOff>
      <xdr:row>2</xdr:row>
      <xdr:rowOff>161106</xdr:rowOff>
    </xdr:to>
    <xdr:sp macro="" textlink="">
      <xdr:nvSpPr>
        <xdr:cNvPr id="2" name="Rectangle: Rounded Corners 1">
          <a:extLst>
            <a:ext uri="{FF2B5EF4-FFF2-40B4-BE49-F238E27FC236}">
              <a16:creationId xmlns:a16="http://schemas.microsoft.com/office/drawing/2014/main" id="{4AE964E8-CE4F-4F23-8A40-2A64A813DD1B}"/>
            </a:ext>
          </a:extLst>
        </xdr:cNvPr>
        <xdr:cNvSpPr/>
      </xdr:nvSpPr>
      <xdr:spPr>
        <a:xfrm>
          <a:off x="47896" y="47895"/>
          <a:ext cx="3239591" cy="478971"/>
        </a:xfrm>
        <a:prstGeom prst="roundRect">
          <a:avLst>
            <a:gd name="adj" fmla="val 14546"/>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clientData/>
  </xdr:twoCellAnchor>
  <xdr:twoCellAnchor editAs="absolute">
    <xdr:from>
      <xdr:col>5</xdr:col>
      <xdr:colOff>300445</xdr:colOff>
      <xdr:row>0</xdr:row>
      <xdr:rowOff>52249</xdr:rowOff>
    </xdr:from>
    <xdr:to>
      <xdr:col>6</xdr:col>
      <xdr:colOff>615627</xdr:colOff>
      <xdr:row>2</xdr:row>
      <xdr:rowOff>161109</xdr:rowOff>
    </xdr:to>
    <xdr:sp macro="" textlink="">
      <xdr:nvSpPr>
        <xdr:cNvPr id="3" name="Rectangle: Rounded Corners 2">
          <a:extLst>
            <a:ext uri="{FF2B5EF4-FFF2-40B4-BE49-F238E27FC236}">
              <a16:creationId xmlns:a16="http://schemas.microsoft.com/office/drawing/2014/main" id="{EA2763DC-9081-4B16-B3D1-0F99C5E1C3BF}"/>
            </a:ext>
          </a:extLst>
        </xdr:cNvPr>
        <xdr:cNvSpPr/>
      </xdr:nvSpPr>
      <xdr:spPr>
        <a:xfrm>
          <a:off x="3348445" y="52249"/>
          <a:ext cx="924782" cy="474620"/>
        </a:xfrm>
        <a:prstGeom prst="roundRect">
          <a:avLst>
            <a:gd name="adj" fmla="val 13587"/>
          </a:avLst>
        </a:prstGeom>
        <a:no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7</xdr:col>
      <xdr:colOff>52250</xdr:colOff>
      <xdr:row>0</xdr:row>
      <xdr:rowOff>56602</xdr:rowOff>
    </xdr:from>
    <xdr:to>
      <xdr:col>9</xdr:col>
      <xdr:colOff>108857</xdr:colOff>
      <xdr:row>6</xdr:row>
      <xdr:rowOff>69669</xdr:rowOff>
    </xdr:to>
    <xdr:sp macro="" textlink="">
      <xdr:nvSpPr>
        <xdr:cNvPr id="4" name="Rectangle: Rounded Corners 3">
          <a:extLst>
            <a:ext uri="{FF2B5EF4-FFF2-40B4-BE49-F238E27FC236}">
              <a16:creationId xmlns:a16="http://schemas.microsoft.com/office/drawing/2014/main" id="{B707A158-0540-49CE-9A03-B2ECAB37CC34}"/>
            </a:ext>
          </a:extLst>
        </xdr:cNvPr>
        <xdr:cNvSpPr/>
      </xdr:nvSpPr>
      <xdr:spPr>
        <a:xfrm>
          <a:off x="4336867" y="56602"/>
          <a:ext cx="1275807" cy="1110347"/>
        </a:xfrm>
        <a:prstGeom prst="roundRect">
          <a:avLst>
            <a:gd name="adj" fmla="val 5085"/>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9</xdr:col>
      <xdr:colOff>174170</xdr:colOff>
      <xdr:row>0</xdr:row>
      <xdr:rowOff>56602</xdr:rowOff>
    </xdr:from>
    <xdr:to>
      <xdr:col>11</xdr:col>
      <xdr:colOff>230777</xdr:colOff>
      <xdr:row>6</xdr:row>
      <xdr:rowOff>69669</xdr:rowOff>
    </xdr:to>
    <xdr:sp macro="" textlink="">
      <xdr:nvSpPr>
        <xdr:cNvPr id="6" name="Rectangle: Rounded Corners 5">
          <a:extLst>
            <a:ext uri="{FF2B5EF4-FFF2-40B4-BE49-F238E27FC236}">
              <a16:creationId xmlns:a16="http://schemas.microsoft.com/office/drawing/2014/main" id="{BB286AA4-AC79-46CA-AF64-56758AFB809F}"/>
            </a:ext>
          </a:extLst>
        </xdr:cNvPr>
        <xdr:cNvSpPr/>
      </xdr:nvSpPr>
      <xdr:spPr>
        <a:xfrm>
          <a:off x="5677987" y="56602"/>
          <a:ext cx="1275807" cy="1110347"/>
        </a:xfrm>
        <a:prstGeom prst="roundRect">
          <a:avLst>
            <a:gd name="adj" fmla="val 7046"/>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0</xdr:col>
      <xdr:colOff>47896</xdr:colOff>
      <xdr:row>3</xdr:row>
      <xdr:rowOff>34832</xdr:rowOff>
    </xdr:from>
    <xdr:to>
      <xdr:col>1</xdr:col>
      <xdr:colOff>56606</xdr:colOff>
      <xdr:row>15</xdr:row>
      <xdr:rowOff>113211</xdr:rowOff>
    </xdr:to>
    <xdr:sp macro="" textlink="">
      <xdr:nvSpPr>
        <xdr:cNvPr id="8" name="Rectangle: Rounded Corners 7">
          <a:extLst>
            <a:ext uri="{FF2B5EF4-FFF2-40B4-BE49-F238E27FC236}">
              <a16:creationId xmlns:a16="http://schemas.microsoft.com/office/drawing/2014/main" id="{5A00BD41-18D2-4762-97DF-9DDA1311C610}"/>
            </a:ext>
          </a:extLst>
        </xdr:cNvPr>
        <xdr:cNvSpPr/>
      </xdr:nvSpPr>
      <xdr:spPr>
        <a:xfrm>
          <a:off x="47896" y="583472"/>
          <a:ext cx="618310" cy="2272939"/>
        </a:xfrm>
        <a:prstGeom prst="roundRect">
          <a:avLst>
            <a:gd name="adj" fmla="val 10125"/>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1</xdr:col>
      <xdr:colOff>121919</xdr:colOff>
      <xdr:row>3</xdr:row>
      <xdr:rowOff>34832</xdr:rowOff>
    </xdr:from>
    <xdr:to>
      <xdr:col>3</xdr:col>
      <xdr:colOff>34590</xdr:colOff>
      <xdr:row>7</xdr:row>
      <xdr:rowOff>104503</xdr:rowOff>
    </xdr:to>
    <xdr:sp macro="" textlink="">
      <xdr:nvSpPr>
        <xdr:cNvPr id="9" name="Rectangle: Rounded Corners 8">
          <a:extLst>
            <a:ext uri="{FF2B5EF4-FFF2-40B4-BE49-F238E27FC236}">
              <a16:creationId xmlns:a16="http://schemas.microsoft.com/office/drawing/2014/main" id="{B55F2BB9-09A8-4436-B2E2-4F37BB648F8E}"/>
            </a:ext>
          </a:extLst>
        </xdr:cNvPr>
        <xdr:cNvSpPr/>
      </xdr:nvSpPr>
      <xdr:spPr>
        <a:xfrm>
          <a:off x="731519" y="583472"/>
          <a:ext cx="1131871" cy="801191"/>
        </a:xfrm>
        <a:prstGeom prst="roundRect">
          <a:avLst>
            <a:gd name="adj" fmla="val 4690"/>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editAs="absolute">
    <xdr:from>
      <xdr:col>3</xdr:col>
      <xdr:colOff>108502</xdr:colOff>
      <xdr:row>3</xdr:row>
      <xdr:rowOff>34832</xdr:rowOff>
    </xdr:from>
    <xdr:to>
      <xdr:col>5</xdr:col>
      <xdr:colOff>21173</xdr:colOff>
      <xdr:row>7</xdr:row>
      <xdr:rowOff>104503</xdr:rowOff>
    </xdr:to>
    <xdr:sp macro="" textlink="">
      <xdr:nvSpPr>
        <xdr:cNvPr id="16" name="Rectangle: Rounded Corners 15">
          <a:extLst>
            <a:ext uri="{FF2B5EF4-FFF2-40B4-BE49-F238E27FC236}">
              <a16:creationId xmlns:a16="http://schemas.microsoft.com/office/drawing/2014/main" id="{E8755DDE-118E-43DE-99ED-4AE5370FCA10}"/>
            </a:ext>
          </a:extLst>
        </xdr:cNvPr>
        <xdr:cNvSpPr/>
      </xdr:nvSpPr>
      <xdr:spPr>
        <a:xfrm>
          <a:off x="1937302" y="583472"/>
          <a:ext cx="1131871" cy="801191"/>
        </a:xfrm>
        <a:prstGeom prst="roundRect">
          <a:avLst>
            <a:gd name="adj" fmla="val 5234"/>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5</xdr:col>
      <xdr:colOff>95086</xdr:colOff>
      <xdr:row>3</xdr:row>
      <xdr:rowOff>34832</xdr:rowOff>
    </xdr:from>
    <xdr:to>
      <xdr:col>6</xdr:col>
      <xdr:colOff>615627</xdr:colOff>
      <xdr:row>7</xdr:row>
      <xdr:rowOff>104503</xdr:rowOff>
    </xdr:to>
    <xdr:sp macro="" textlink="">
      <xdr:nvSpPr>
        <xdr:cNvPr id="17" name="Rectangle: Rounded Corners 16">
          <a:extLst>
            <a:ext uri="{FF2B5EF4-FFF2-40B4-BE49-F238E27FC236}">
              <a16:creationId xmlns:a16="http://schemas.microsoft.com/office/drawing/2014/main" id="{010B9EEE-0CCB-4934-8BE5-37605EBA3584}"/>
            </a:ext>
          </a:extLst>
        </xdr:cNvPr>
        <xdr:cNvSpPr/>
      </xdr:nvSpPr>
      <xdr:spPr>
        <a:xfrm>
          <a:off x="3143086" y="583472"/>
          <a:ext cx="1130141" cy="801191"/>
        </a:xfrm>
        <a:prstGeom prst="roundRect">
          <a:avLst>
            <a:gd name="adj" fmla="val 5234"/>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1</xdr:col>
      <xdr:colOff>121919</xdr:colOff>
      <xdr:row>10</xdr:row>
      <xdr:rowOff>21771</xdr:rowOff>
    </xdr:from>
    <xdr:to>
      <xdr:col>7</xdr:col>
      <xdr:colOff>0</xdr:colOff>
      <xdr:row>15</xdr:row>
      <xdr:rowOff>113212</xdr:rowOff>
    </xdr:to>
    <xdr:sp macro="" textlink="">
      <xdr:nvSpPr>
        <xdr:cNvPr id="24" name="Rectangle: Rounded Corners 23">
          <a:extLst>
            <a:ext uri="{FF2B5EF4-FFF2-40B4-BE49-F238E27FC236}">
              <a16:creationId xmlns:a16="http://schemas.microsoft.com/office/drawing/2014/main" id="{1B2A5042-7C2B-4882-A181-73D15246FF20}"/>
            </a:ext>
          </a:extLst>
        </xdr:cNvPr>
        <xdr:cNvSpPr/>
      </xdr:nvSpPr>
      <xdr:spPr>
        <a:xfrm>
          <a:off x="731519" y="1850571"/>
          <a:ext cx="3535681" cy="1005841"/>
        </a:xfrm>
        <a:prstGeom prst="roundRect">
          <a:avLst>
            <a:gd name="adj" fmla="val 5796"/>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1</xdr:col>
      <xdr:colOff>117564</xdr:colOff>
      <xdr:row>7</xdr:row>
      <xdr:rowOff>165464</xdr:rowOff>
    </xdr:from>
    <xdr:to>
      <xdr:col>6</xdr:col>
      <xdr:colOff>619932</xdr:colOff>
      <xdr:row>9</xdr:row>
      <xdr:rowOff>148046</xdr:rowOff>
    </xdr:to>
    <xdr:sp macro="" textlink="">
      <xdr:nvSpPr>
        <xdr:cNvPr id="26" name="Rectangle: Rounded Corners 25">
          <a:extLst>
            <a:ext uri="{FF2B5EF4-FFF2-40B4-BE49-F238E27FC236}">
              <a16:creationId xmlns:a16="http://schemas.microsoft.com/office/drawing/2014/main" id="{497F9E0C-BE0E-43BC-9926-963B8B042164}"/>
            </a:ext>
          </a:extLst>
        </xdr:cNvPr>
        <xdr:cNvSpPr/>
      </xdr:nvSpPr>
      <xdr:spPr>
        <a:xfrm>
          <a:off x="727164" y="1445624"/>
          <a:ext cx="3550368" cy="348342"/>
        </a:xfrm>
        <a:prstGeom prst="roundRect">
          <a:avLst>
            <a:gd name="adj" fmla="val 10125"/>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7</xdr:col>
      <xdr:colOff>38548</xdr:colOff>
      <xdr:row>6</xdr:row>
      <xdr:rowOff>134143</xdr:rowOff>
    </xdr:from>
    <xdr:to>
      <xdr:col>11</xdr:col>
      <xdr:colOff>235131</xdr:colOff>
      <xdr:row>15</xdr:row>
      <xdr:rowOff>120593</xdr:rowOff>
    </xdr:to>
    <xdr:sp macro="" textlink="">
      <xdr:nvSpPr>
        <xdr:cNvPr id="36" name="Rectangle: Rounded Corners 35">
          <a:extLst>
            <a:ext uri="{FF2B5EF4-FFF2-40B4-BE49-F238E27FC236}">
              <a16:creationId xmlns:a16="http://schemas.microsoft.com/office/drawing/2014/main" id="{09F36484-FBAC-4193-B763-42F06D508B3E}"/>
            </a:ext>
          </a:extLst>
        </xdr:cNvPr>
        <xdr:cNvSpPr/>
      </xdr:nvSpPr>
      <xdr:spPr>
        <a:xfrm>
          <a:off x="4323165" y="1231423"/>
          <a:ext cx="2634983" cy="1632370"/>
        </a:xfrm>
        <a:prstGeom prst="roundRect">
          <a:avLst>
            <a:gd name="adj" fmla="val 5083"/>
          </a:avLst>
        </a:prstGeom>
        <a:solidFill>
          <a:schemeClr val="tx1">
            <a:lumMod val="85000"/>
            <a:lumOff val="15000"/>
          </a:schemeClr>
        </a:solidFill>
        <a:ln w="158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0AB13"/>
            </a:solidFill>
          </a:endParaRPr>
        </a:p>
      </xdr:txBody>
    </xdr:sp>
    <xdr:clientData/>
  </xdr:twoCellAnchor>
  <xdr:twoCellAnchor editAs="absolute">
    <xdr:from>
      <xdr:col>1</xdr:col>
      <xdr:colOff>74021</xdr:colOff>
      <xdr:row>0</xdr:row>
      <xdr:rowOff>108859</xdr:rowOff>
    </xdr:from>
    <xdr:to>
      <xdr:col>4</xdr:col>
      <xdr:colOff>404948</xdr:colOff>
      <xdr:row>1</xdr:row>
      <xdr:rowOff>108857</xdr:rowOff>
    </xdr:to>
    <xdr:sp macro="" textlink="">
      <xdr:nvSpPr>
        <xdr:cNvPr id="37" name="TextBox 36">
          <a:extLst>
            <a:ext uri="{FF2B5EF4-FFF2-40B4-BE49-F238E27FC236}">
              <a16:creationId xmlns:a16="http://schemas.microsoft.com/office/drawing/2014/main" id="{E2AE5061-AEC6-49EC-8399-E38578439AE7}"/>
            </a:ext>
          </a:extLst>
        </xdr:cNvPr>
        <xdr:cNvSpPr txBox="1"/>
      </xdr:nvSpPr>
      <xdr:spPr>
        <a:xfrm>
          <a:off x="683621" y="108859"/>
          <a:ext cx="2159727" cy="182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n>
                <a:solidFill>
                  <a:srgbClr val="92D050"/>
                </a:solidFill>
              </a:ln>
              <a:solidFill>
                <a:srgbClr val="92D050"/>
              </a:solidFill>
            </a:rPr>
            <a:t>Hospital Emergency Room Dashboard</a:t>
          </a:r>
        </a:p>
      </xdr:txBody>
    </xdr:sp>
    <xdr:clientData/>
  </xdr:twoCellAnchor>
  <xdr:twoCellAnchor editAs="oneCell">
    <xdr:from>
      <xdr:col>0</xdr:col>
      <xdr:colOff>82731</xdr:colOff>
      <xdr:row>0</xdr:row>
      <xdr:rowOff>83183</xdr:rowOff>
    </xdr:from>
    <xdr:to>
      <xdr:col>1</xdr:col>
      <xdr:colOff>0</xdr:colOff>
      <xdr:row>2</xdr:row>
      <xdr:rowOff>100149</xdr:rowOff>
    </xdr:to>
    <xdr:pic>
      <xdr:nvPicPr>
        <xdr:cNvPr id="39" name="Picture 38">
          <a:extLst>
            <a:ext uri="{FF2B5EF4-FFF2-40B4-BE49-F238E27FC236}">
              <a16:creationId xmlns:a16="http://schemas.microsoft.com/office/drawing/2014/main" id="{89905AD9-2E6A-4A56-95B8-7738AFD7E3D9}"/>
            </a:ext>
          </a:extLst>
        </xdr:cNvPr>
        <xdr:cNvPicPr>
          <a:picLocks noChangeAspect="1"/>
        </xdr:cNvPicPr>
      </xdr:nvPicPr>
      <xdr:blipFill rotWithShape="1">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rcRect l="21080" t="9692" r="18530" b="11290"/>
        <a:stretch/>
      </xdr:blipFill>
      <xdr:spPr>
        <a:xfrm>
          <a:off x="82731" y="83183"/>
          <a:ext cx="526869" cy="382726"/>
        </a:xfrm>
        <a:prstGeom prst="rect">
          <a:avLst/>
        </a:prstGeom>
      </xdr:spPr>
    </xdr:pic>
    <xdr:clientData/>
  </xdr:twoCellAnchor>
  <xdr:twoCellAnchor editAs="absolute">
    <xdr:from>
      <xdr:col>2</xdr:col>
      <xdr:colOff>134981</xdr:colOff>
      <xdr:row>1</xdr:row>
      <xdr:rowOff>117568</xdr:rowOff>
    </xdr:from>
    <xdr:to>
      <xdr:col>3</xdr:col>
      <xdr:colOff>309154</xdr:colOff>
      <xdr:row>2</xdr:row>
      <xdr:rowOff>78378</xdr:rowOff>
    </xdr:to>
    <xdr:sp macro="" textlink="">
      <xdr:nvSpPr>
        <xdr:cNvPr id="41" name="TextBox 40">
          <a:extLst>
            <a:ext uri="{FF2B5EF4-FFF2-40B4-BE49-F238E27FC236}">
              <a16:creationId xmlns:a16="http://schemas.microsoft.com/office/drawing/2014/main" id="{E3E614C4-3CB9-49E6-8776-601054F12867}"/>
            </a:ext>
          </a:extLst>
        </xdr:cNvPr>
        <xdr:cNvSpPr txBox="1"/>
      </xdr:nvSpPr>
      <xdr:spPr>
        <a:xfrm>
          <a:off x="1354181" y="300448"/>
          <a:ext cx="783773"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ln>
                <a:solidFill>
                  <a:srgbClr val="FFFFC5"/>
                </a:solidFill>
              </a:ln>
              <a:solidFill>
                <a:srgbClr val="FFFFC5"/>
              </a:solidFill>
            </a:rPr>
            <a:t>Monthly Report</a:t>
          </a:r>
        </a:p>
      </xdr:txBody>
    </xdr:sp>
    <xdr:clientData/>
  </xdr:twoCellAnchor>
  <xdr:twoCellAnchor editAs="absolute">
    <xdr:from>
      <xdr:col>1</xdr:col>
      <xdr:colOff>130630</xdr:colOff>
      <xdr:row>4</xdr:row>
      <xdr:rowOff>117564</xdr:rowOff>
    </xdr:from>
    <xdr:to>
      <xdr:col>3</xdr:col>
      <xdr:colOff>17418</xdr:colOff>
      <xdr:row>5</xdr:row>
      <xdr:rowOff>78374</xdr:rowOff>
    </xdr:to>
    <xdr:sp macro="" textlink="">
      <xdr:nvSpPr>
        <xdr:cNvPr id="42" name="TextBox 41">
          <a:extLst>
            <a:ext uri="{FF2B5EF4-FFF2-40B4-BE49-F238E27FC236}">
              <a16:creationId xmlns:a16="http://schemas.microsoft.com/office/drawing/2014/main" id="{D967EAEA-B653-4443-81F5-7F51748C1A5F}"/>
            </a:ext>
          </a:extLst>
        </xdr:cNvPr>
        <xdr:cNvSpPr txBox="1"/>
      </xdr:nvSpPr>
      <xdr:spPr>
        <a:xfrm>
          <a:off x="740230" y="849084"/>
          <a:ext cx="1105988"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ln>
                <a:solidFill>
                  <a:srgbClr val="FFFFC5"/>
                </a:solidFill>
              </a:ln>
              <a:solidFill>
                <a:srgbClr val="FFFFC5"/>
              </a:solidFill>
            </a:rPr>
            <a:t>Monthly Report</a:t>
          </a:r>
        </a:p>
      </xdr:txBody>
    </xdr:sp>
    <xdr:clientData/>
  </xdr:twoCellAnchor>
  <xdr:twoCellAnchor editAs="absolute">
    <xdr:from>
      <xdr:col>1</xdr:col>
      <xdr:colOff>130630</xdr:colOff>
      <xdr:row>3</xdr:row>
      <xdr:rowOff>134981</xdr:rowOff>
    </xdr:from>
    <xdr:to>
      <xdr:col>3</xdr:col>
      <xdr:colOff>17418</xdr:colOff>
      <xdr:row>4</xdr:row>
      <xdr:rowOff>95791</xdr:rowOff>
    </xdr:to>
    <xdr:sp macro="" textlink="'Pivot Report'!A5">
      <xdr:nvSpPr>
        <xdr:cNvPr id="19" name="TextBox 18">
          <a:extLst>
            <a:ext uri="{FF2B5EF4-FFF2-40B4-BE49-F238E27FC236}">
              <a16:creationId xmlns:a16="http://schemas.microsoft.com/office/drawing/2014/main" id="{119C84C0-7012-4376-B5F8-FDBAD66EBD73}"/>
            </a:ext>
          </a:extLst>
        </xdr:cNvPr>
        <xdr:cNvSpPr txBox="1"/>
      </xdr:nvSpPr>
      <xdr:spPr>
        <a:xfrm>
          <a:off x="740230" y="683621"/>
          <a:ext cx="1105988"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9D5A341-AA56-4E6D-BB25-3F7A5EE9A39D}" type="TxLink">
            <a:rPr lang="en-US" sz="1100" b="0" i="0" u="none" strike="noStrike">
              <a:ln>
                <a:solidFill>
                  <a:schemeClr val="accent6">
                    <a:lumMod val="60000"/>
                    <a:lumOff val="40000"/>
                  </a:schemeClr>
                </a:solidFill>
              </a:ln>
              <a:solidFill>
                <a:schemeClr val="accent6">
                  <a:lumMod val="60000"/>
                  <a:lumOff val="40000"/>
                </a:schemeClr>
              </a:solidFill>
              <a:latin typeface="Calibri"/>
              <a:ea typeface="Calibri"/>
              <a:cs typeface="Calibri"/>
            </a:rPr>
            <a:pPr algn="ctr"/>
            <a:t>9216</a:t>
          </a:fld>
          <a:endParaRPr lang="en-IN" sz="900">
            <a:ln>
              <a:solidFill>
                <a:schemeClr val="accent6">
                  <a:lumMod val="60000"/>
                  <a:lumOff val="40000"/>
                </a:schemeClr>
              </a:solidFill>
            </a:ln>
            <a:solidFill>
              <a:schemeClr val="accent6">
                <a:lumMod val="60000"/>
                <a:lumOff val="40000"/>
              </a:schemeClr>
            </a:solidFill>
          </a:endParaRPr>
        </a:p>
      </xdr:txBody>
    </xdr:sp>
    <xdr:clientData/>
  </xdr:twoCellAnchor>
  <xdr:twoCellAnchor editAs="oneCell">
    <xdr:from>
      <xdr:col>0</xdr:col>
      <xdr:colOff>65315</xdr:colOff>
      <xdr:row>3</xdr:row>
      <xdr:rowOff>52252</xdr:rowOff>
    </xdr:from>
    <xdr:to>
      <xdr:col>1</xdr:col>
      <xdr:colOff>30481</xdr:colOff>
      <xdr:row>15</xdr:row>
      <xdr:rowOff>87084</xdr:rowOff>
    </xdr:to>
    <mc:AlternateContent xmlns:mc="http://schemas.openxmlformats.org/markup-compatibility/2006" xmlns:a14="http://schemas.microsoft.com/office/drawing/2010/main">
      <mc:Choice Requires="a14">
        <xdr:graphicFrame macro="">
          <xdr:nvGraphicFramePr>
            <xdr:cNvPr id="20" name="Date (Month) 1">
              <a:extLst>
                <a:ext uri="{FF2B5EF4-FFF2-40B4-BE49-F238E27FC236}">
                  <a16:creationId xmlns:a16="http://schemas.microsoft.com/office/drawing/2014/main" id="{84B8205B-8F24-455B-8585-8BB31C3BBE9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5315" y="600892"/>
              <a:ext cx="574766" cy="2229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121921</xdr:colOff>
      <xdr:row>4</xdr:row>
      <xdr:rowOff>117564</xdr:rowOff>
    </xdr:from>
    <xdr:to>
      <xdr:col>5</xdr:col>
      <xdr:colOff>8709</xdr:colOff>
      <xdr:row>5</xdr:row>
      <xdr:rowOff>78374</xdr:rowOff>
    </xdr:to>
    <xdr:sp macro="" textlink="">
      <xdr:nvSpPr>
        <xdr:cNvPr id="21" name="TextBox 20">
          <a:extLst>
            <a:ext uri="{FF2B5EF4-FFF2-40B4-BE49-F238E27FC236}">
              <a16:creationId xmlns:a16="http://schemas.microsoft.com/office/drawing/2014/main" id="{7333E665-6F59-4D69-9F1C-89C7D44D47A7}"/>
            </a:ext>
          </a:extLst>
        </xdr:cNvPr>
        <xdr:cNvSpPr txBox="1"/>
      </xdr:nvSpPr>
      <xdr:spPr>
        <a:xfrm>
          <a:off x="1950721" y="849084"/>
          <a:ext cx="1105988"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ln>
                <a:solidFill>
                  <a:srgbClr val="FFFFC5"/>
                </a:solidFill>
              </a:ln>
              <a:solidFill>
                <a:srgbClr val="FFFFC5"/>
              </a:solidFill>
            </a:rPr>
            <a:t>Average Wait Time</a:t>
          </a:r>
        </a:p>
      </xdr:txBody>
    </xdr:sp>
    <xdr:clientData/>
  </xdr:twoCellAnchor>
  <xdr:twoCellAnchor editAs="absolute">
    <xdr:from>
      <xdr:col>3</xdr:col>
      <xdr:colOff>121921</xdr:colOff>
      <xdr:row>3</xdr:row>
      <xdr:rowOff>134981</xdr:rowOff>
    </xdr:from>
    <xdr:to>
      <xdr:col>5</xdr:col>
      <xdr:colOff>8709</xdr:colOff>
      <xdr:row>4</xdr:row>
      <xdr:rowOff>95791</xdr:rowOff>
    </xdr:to>
    <xdr:sp macro="" textlink="'Pivot Report'!A9">
      <xdr:nvSpPr>
        <xdr:cNvPr id="22" name="TextBox 21">
          <a:extLst>
            <a:ext uri="{FF2B5EF4-FFF2-40B4-BE49-F238E27FC236}">
              <a16:creationId xmlns:a16="http://schemas.microsoft.com/office/drawing/2014/main" id="{58748E21-54A2-4D54-B173-1C3442364685}"/>
            </a:ext>
          </a:extLst>
        </xdr:cNvPr>
        <xdr:cNvSpPr txBox="1"/>
      </xdr:nvSpPr>
      <xdr:spPr>
        <a:xfrm>
          <a:off x="1950721" y="683621"/>
          <a:ext cx="1105988"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798EEA4-EFAF-4C16-9F99-92593962652A}" type="TxLink">
            <a:rPr lang="en-US" sz="1100" b="0" i="0" u="none" strike="noStrike">
              <a:ln>
                <a:solidFill>
                  <a:schemeClr val="accent6">
                    <a:lumMod val="60000"/>
                    <a:lumOff val="40000"/>
                  </a:schemeClr>
                </a:solidFill>
              </a:ln>
              <a:solidFill>
                <a:schemeClr val="accent6">
                  <a:lumMod val="60000"/>
                  <a:lumOff val="40000"/>
                </a:schemeClr>
              </a:solidFill>
              <a:latin typeface="Calibri"/>
              <a:ea typeface="Calibri"/>
              <a:cs typeface="Calibri"/>
            </a:rPr>
            <a:pPr algn="ctr"/>
            <a:t>35.26</a:t>
          </a:fld>
          <a:endParaRPr lang="en-IN" sz="900">
            <a:ln>
              <a:solidFill>
                <a:schemeClr val="accent6">
                  <a:lumMod val="60000"/>
                  <a:lumOff val="40000"/>
                </a:schemeClr>
              </a:solidFill>
            </a:ln>
            <a:solidFill>
              <a:schemeClr val="accent6">
                <a:lumMod val="60000"/>
                <a:lumOff val="40000"/>
              </a:schemeClr>
            </a:solidFill>
          </a:endParaRPr>
        </a:p>
      </xdr:txBody>
    </xdr:sp>
    <xdr:clientData/>
  </xdr:twoCellAnchor>
  <xdr:twoCellAnchor editAs="absolute">
    <xdr:from>
      <xdr:col>5</xdr:col>
      <xdr:colOff>113212</xdr:colOff>
      <xdr:row>4</xdr:row>
      <xdr:rowOff>117564</xdr:rowOff>
    </xdr:from>
    <xdr:to>
      <xdr:col>6</xdr:col>
      <xdr:colOff>609600</xdr:colOff>
      <xdr:row>5</xdr:row>
      <xdr:rowOff>78374</xdr:rowOff>
    </xdr:to>
    <xdr:sp macro="" textlink="">
      <xdr:nvSpPr>
        <xdr:cNvPr id="23" name="TextBox 22">
          <a:extLst>
            <a:ext uri="{FF2B5EF4-FFF2-40B4-BE49-F238E27FC236}">
              <a16:creationId xmlns:a16="http://schemas.microsoft.com/office/drawing/2014/main" id="{195C6104-DBFA-46B1-B4BE-E343D91466BD}"/>
            </a:ext>
          </a:extLst>
        </xdr:cNvPr>
        <xdr:cNvSpPr txBox="1"/>
      </xdr:nvSpPr>
      <xdr:spPr>
        <a:xfrm>
          <a:off x="3161212" y="849084"/>
          <a:ext cx="1105988"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n>
                <a:solidFill>
                  <a:srgbClr val="FFFFC5"/>
                </a:solidFill>
              </a:ln>
              <a:solidFill>
                <a:srgbClr val="FFFFC5"/>
              </a:solidFill>
            </a:rPr>
            <a:t>Patient Satisfaction Score</a:t>
          </a:r>
        </a:p>
      </xdr:txBody>
    </xdr:sp>
    <xdr:clientData/>
  </xdr:twoCellAnchor>
  <xdr:twoCellAnchor editAs="absolute">
    <xdr:from>
      <xdr:col>5</xdr:col>
      <xdr:colOff>113212</xdr:colOff>
      <xdr:row>3</xdr:row>
      <xdr:rowOff>134981</xdr:rowOff>
    </xdr:from>
    <xdr:to>
      <xdr:col>6</xdr:col>
      <xdr:colOff>592183</xdr:colOff>
      <xdr:row>4</xdr:row>
      <xdr:rowOff>95791</xdr:rowOff>
    </xdr:to>
    <xdr:sp macro="" textlink="'Pivot Report'!A12">
      <xdr:nvSpPr>
        <xdr:cNvPr id="25" name="TextBox 24">
          <a:extLst>
            <a:ext uri="{FF2B5EF4-FFF2-40B4-BE49-F238E27FC236}">
              <a16:creationId xmlns:a16="http://schemas.microsoft.com/office/drawing/2014/main" id="{27DE3B7C-6738-4744-A285-8627FD81F2FB}"/>
            </a:ext>
          </a:extLst>
        </xdr:cNvPr>
        <xdr:cNvSpPr txBox="1"/>
      </xdr:nvSpPr>
      <xdr:spPr>
        <a:xfrm>
          <a:off x="3161212" y="683621"/>
          <a:ext cx="1088571" cy="14369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10559C9-79DA-4D3E-97A0-BC66951909DB}" type="TxLink">
            <a:rPr lang="en-US" sz="1100" b="0" i="0" u="none" strike="noStrike">
              <a:ln>
                <a:solidFill>
                  <a:schemeClr val="accent6">
                    <a:lumMod val="60000"/>
                    <a:lumOff val="40000"/>
                  </a:schemeClr>
                </a:solidFill>
              </a:ln>
              <a:solidFill>
                <a:schemeClr val="accent6">
                  <a:lumMod val="60000"/>
                  <a:lumOff val="40000"/>
                </a:schemeClr>
              </a:solidFill>
              <a:latin typeface="Calibri"/>
              <a:ea typeface="Calibri"/>
              <a:cs typeface="Calibri"/>
            </a:rPr>
            <a:pPr algn="ctr"/>
            <a:t>4.99</a:t>
          </a:fld>
          <a:endParaRPr lang="en-IN" sz="900">
            <a:ln>
              <a:solidFill>
                <a:schemeClr val="accent6">
                  <a:lumMod val="60000"/>
                  <a:lumOff val="40000"/>
                </a:schemeClr>
              </a:solidFill>
            </a:ln>
            <a:solidFill>
              <a:schemeClr val="accent6">
                <a:lumMod val="60000"/>
                <a:lumOff val="40000"/>
              </a:schemeClr>
            </a:solidFill>
          </a:endParaRPr>
        </a:p>
      </xdr:txBody>
    </xdr:sp>
    <xdr:clientData/>
  </xdr:twoCellAnchor>
  <xdr:twoCellAnchor>
    <xdr:from>
      <xdr:col>1</xdr:col>
      <xdr:colOff>43543</xdr:colOff>
      <xdr:row>4</xdr:row>
      <xdr:rowOff>139337</xdr:rowOff>
    </xdr:from>
    <xdr:to>
      <xdr:col>3</xdr:col>
      <xdr:colOff>134983</xdr:colOff>
      <xdr:row>8</xdr:row>
      <xdr:rowOff>17417</xdr:rowOff>
    </xdr:to>
    <xdr:graphicFrame macro="">
      <xdr:nvGraphicFramePr>
        <xdr:cNvPr id="27" name="Chart 26">
          <a:hlinkClick xmlns:r="http://schemas.openxmlformats.org/officeDocument/2006/relationships" r:id="rId2"/>
          <a:extLst>
            <a:ext uri="{FF2B5EF4-FFF2-40B4-BE49-F238E27FC236}">
              <a16:creationId xmlns:a16="http://schemas.microsoft.com/office/drawing/2014/main" id="{ED598446-AA90-470E-BF0C-488656643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256902</xdr:colOff>
      <xdr:row>3</xdr:row>
      <xdr:rowOff>78378</xdr:rowOff>
    </xdr:from>
    <xdr:to>
      <xdr:col>2</xdr:col>
      <xdr:colOff>487679</xdr:colOff>
      <xdr:row>4</xdr:row>
      <xdr:rowOff>126275</xdr:rowOff>
    </xdr:to>
    <xdr:pic>
      <xdr:nvPicPr>
        <xdr:cNvPr id="7" name="Graphic 6" descr="Male profile with solid fill">
          <a:extLst>
            <a:ext uri="{FF2B5EF4-FFF2-40B4-BE49-F238E27FC236}">
              <a16:creationId xmlns:a16="http://schemas.microsoft.com/office/drawing/2014/main" id="{606030A1-A73F-450B-A1D7-88FEE88CDC8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476102" y="627018"/>
          <a:ext cx="230777" cy="230777"/>
        </a:xfrm>
        <a:prstGeom prst="rect">
          <a:avLst/>
        </a:prstGeom>
      </xdr:spPr>
    </xdr:pic>
    <xdr:clientData/>
  </xdr:twoCellAnchor>
  <xdr:twoCellAnchor editAs="oneCell">
    <xdr:from>
      <xdr:col>4</xdr:col>
      <xdr:colOff>269967</xdr:colOff>
      <xdr:row>3</xdr:row>
      <xdr:rowOff>91442</xdr:rowOff>
    </xdr:from>
    <xdr:to>
      <xdr:col>4</xdr:col>
      <xdr:colOff>470263</xdr:colOff>
      <xdr:row>4</xdr:row>
      <xdr:rowOff>108858</xdr:rowOff>
    </xdr:to>
    <xdr:pic>
      <xdr:nvPicPr>
        <xdr:cNvPr id="11" name="Graphic 10" descr="Hourglass Finished with solid fill">
          <a:extLst>
            <a:ext uri="{FF2B5EF4-FFF2-40B4-BE49-F238E27FC236}">
              <a16:creationId xmlns:a16="http://schemas.microsoft.com/office/drawing/2014/main" id="{A28AD1D8-776D-432E-8F81-884DDCA1405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708367" y="640082"/>
          <a:ext cx="200296" cy="200296"/>
        </a:xfrm>
        <a:prstGeom prst="rect">
          <a:avLst/>
        </a:prstGeom>
      </xdr:spPr>
    </xdr:pic>
    <xdr:clientData/>
  </xdr:twoCellAnchor>
  <xdr:twoCellAnchor editAs="oneCell">
    <xdr:from>
      <xdr:col>6</xdr:col>
      <xdr:colOff>217716</xdr:colOff>
      <xdr:row>3</xdr:row>
      <xdr:rowOff>69669</xdr:rowOff>
    </xdr:from>
    <xdr:to>
      <xdr:col>6</xdr:col>
      <xdr:colOff>452848</xdr:colOff>
      <xdr:row>4</xdr:row>
      <xdr:rowOff>121921</xdr:rowOff>
    </xdr:to>
    <xdr:pic>
      <xdr:nvPicPr>
        <xdr:cNvPr id="13" name="Graphic 12" descr="Customer review with solid fill">
          <a:extLst>
            <a:ext uri="{FF2B5EF4-FFF2-40B4-BE49-F238E27FC236}">
              <a16:creationId xmlns:a16="http://schemas.microsoft.com/office/drawing/2014/main" id="{15F88EC5-9F76-421C-93D0-88D20E88BA6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875316" y="618309"/>
          <a:ext cx="235132" cy="235132"/>
        </a:xfrm>
        <a:prstGeom prst="rect">
          <a:avLst/>
        </a:prstGeom>
      </xdr:spPr>
    </xdr:pic>
    <xdr:clientData/>
  </xdr:twoCellAnchor>
  <xdr:twoCellAnchor>
    <xdr:from>
      <xdr:col>3</xdr:col>
      <xdr:colOff>4356</xdr:colOff>
      <xdr:row>5</xdr:row>
      <xdr:rowOff>82732</xdr:rowOff>
    </xdr:from>
    <xdr:to>
      <xdr:col>5</xdr:col>
      <xdr:colOff>139337</xdr:colOff>
      <xdr:row>8</xdr:row>
      <xdr:rowOff>52252</xdr:rowOff>
    </xdr:to>
    <xdr:graphicFrame macro="">
      <xdr:nvGraphicFramePr>
        <xdr:cNvPr id="32" name="Chart 31">
          <a:hlinkClick xmlns:r="http://schemas.openxmlformats.org/officeDocument/2006/relationships" r:id="rId10"/>
          <a:extLst>
            <a:ext uri="{FF2B5EF4-FFF2-40B4-BE49-F238E27FC236}">
              <a16:creationId xmlns:a16="http://schemas.microsoft.com/office/drawing/2014/main" id="{818CC88C-A823-4543-B8E5-C287AB69C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39188</xdr:colOff>
      <xdr:row>4</xdr:row>
      <xdr:rowOff>108856</xdr:rowOff>
    </xdr:from>
    <xdr:to>
      <xdr:col>7</xdr:col>
      <xdr:colOff>30480</xdr:colOff>
      <xdr:row>8</xdr:row>
      <xdr:rowOff>47897</xdr:rowOff>
    </xdr:to>
    <xdr:graphicFrame macro="">
      <xdr:nvGraphicFramePr>
        <xdr:cNvPr id="34" name="Chart 33">
          <a:hlinkClick xmlns:r="http://schemas.openxmlformats.org/officeDocument/2006/relationships" r:id="rId12"/>
          <a:extLst>
            <a:ext uri="{FF2B5EF4-FFF2-40B4-BE49-F238E27FC236}">
              <a16:creationId xmlns:a16="http://schemas.microsoft.com/office/drawing/2014/main" id="{9F2E46CD-0D59-42A8-9A35-4A890B3EB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121921</xdr:colOff>
          <xdr:row>7</xdr:row>
          <xdr:rowOff>169817</xdr:rowOff>
        </xdr:from>
        <xdr:to>
          <xdr:col>6</xdr:col>
          <xdr:colOff>618309</xdr:colOff>
          <xdr:row>9</xdr:row>
          <xdr:rowOff>139337</xdr:rowOff>
        </xdr:to>
        <xdr:pic>
          <xdr:nvPicPr>
            <xdr:cNvPr id="38" name="Picture 37">
              <a:extLst>
                <a:ext uri="{FF2B5EF4-FFF2-40B4-BE49-F238E27FC236}">
                  <a16:creationId xmlns:a16="http://schemas.microsoft.com/office/drawing/2014/main" id="{AA8065D5-60F8-4741-96F1-D2B4E9EB2CC5}"/>
                </a:ext>
              </a:extLst>
            </xdr:cNvPr>
            <xdr:cNvPicPr>
              <a:picLocks noChangeAspect="1" noChangeArrowheads="1"/>
              <a:extLst>
                <a:ext uri="{84589F7E-364E-4C9E-8A38-B11213B215E9}">
                  <a14:cameraTool cellRange="'Pivot Report'!$B$383:$E$385" spid="_x0000_s2071"/>
                </a:ext>
              </a:extLst>
            </xdr:cNvPicPr>
          </xdr:nvPicPr>
          <xdr:blipFill>
            <a:blip xmlns:r="http://schemas.openxmlformats.org/officeDocument/2006/relationships" r:embed="rId14"/>
            <a:srcRect/>
            <a:stretch>
              <a:fillRect/>
            </a:stretch>
          </xdr:blipFill>
          <xdr:spPr bwMode="auto">
            <a:xfrm>
              <a:off x="731521" y="1449977"/>
              <a:ext cx="3544388" cy="335280"/>
            </a:xfrm>
            <a:prstGeom prst="roundRect">
              <a:avLst>
                <a:gd name="adj" fmla="val 7456"/>
              </a:avLst>
            </a:prstGeom>
            <a:ln>
              <a:noFill/>
            </a:ln>
            <a:effectLst>
              <a:outerShdw blurRad="76200" dist="38100" dir="7800000" algn="tl" rotWithShape="0">
                <a:srgbClr val="000000">
                  <a:alpha val="40000"/>
                </a:srgbClr>
              </a:outerShdw>
            </a:effectLst>
          </xdr:spPr>
        </xdr:pic>
        <xdr:clientData/>
      </xdr:twoCellAnchor>
    </mc:Choice>
    <mc:Fallback/>
  </mc:AlternateContent>
  <xdr:twoCellAnchor>
    <xdr:from>
      <xdr:col>1</xdr:col>
      <xdr:colOff>152400</xdr:colOff>
      <xdr:row>10</xdr:row>
      <xdr:rowOff>39189</xdr:rowOff>
    </xdr:from>
    <xdr:to>
      <xdr:col>6</xdr:col>
      <xdr:colOff>566057</xdr:colOff>
      <xdr:row>14</xdr:row>
      <xdr:rowOff>169817</xdr:rowOff>
    </xdr:to>
    <xdr:graphicFrame macro="">
      <xdr:nvGraphicFramePr>
        <xdr:cNvPr id="33" name="Chart 32">
          <a:extLst>
            <a:ext uri="{FF2B5EF4-FFF2-40B4-BE49-F238E27FC236}">
              <a16:creationId xmlns:a16="http://schemas.microsoft.com/office/drawing/2014/main" id="{C8034834-4BB6-49D3-B984-90BA9CF1F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579120</xdr:colOff>
      <xdr:row>14</xdr:row>
      <xdr:rowOff>126272</xdr:rowOff>
    </xdr:from>
    <xdr:to>
      <xdr:col>4</xdr:col>
      <xdr:colOff>609599</xdr:colOff>
      <xdr:row>15</xdr:row>
      <xdr:rowOff>87082</xdr:rowOff>
    </xdr:to>
    <xdr:sp macro="" textlink="">
      <xdr:nvSpPr>
        <xdr:cNvPr id="40" name="TextBox 39">
          <a:extLst>
            <a:ext uri="{FF2B5EF4-FFF2-40B4-BE49-F238E27FC236}">
              <a16:creationId xmlns:a16="http://schemas.microsoft.com/office/drawing/2014/main" id="{446872E9-FA40-4282-84AF-BF2D7C40170D}"/>
            </a:ext>
          </a:extLst>
        </xdr:cNvPr>
        <xdr:cNvSpPr txBox="1"/>
      </xdr:nvSpPr>
      <xdr:spPr>
        <a:xfrm>
          <a:off x="1798320" y="2686592"/>
          <a:ext cx="1249679"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ln w="6350">
                <a:solidFill>
                  <a:srgbClr val="FFFFC5"/>
                </a:solidFill>
              </a:ln>
              <a:solidFill>
                <a:srgbClr val="FFFFC5"/>
              </a:solidFill>
            </a:rPr>
            <a:t>No. of patient by age group</a:t>
          </a:r>
        </a:p>
      </xdr:txBody>
    </xdr:sp>
    <xdr:clientData/>
  </xdr:twoCellAnchor>
  <xdr:twoCellAnchor>
    <xdr:from>
      <xdr:col>7</xdr:col>
      <xdr:colOff>74023</xdr:colOff>
      <xdr:row>0</xdr:row>
      <xdr:rowOff>74023</xdr:rowOff>
    </xdr:from>
    <xdr:to>
      <xdr:col>9</xdr:col>
      <xdr:colOff>78377</xdr:colOff>
      <xdr:row>6</xdr:row>
      <xdr:rowOff>43543</xdr:rowOff>
    </xdr:to>
    <xdr:graphicFrame macro="">
      <xdr:nvGraphicFramePr>
        <xdr:cNvPr id="43" name="Chart 42">
          <a:extLst>
            <a:ext uri="{FF2B5EF4-FFF2-40B4-BE49-F238E27FC236}">
              <a16:creationId xmlns:a16="http://schemas.microsoft.com/office/drawing/2014/main" id="{5BFFF42C-7ECD-4615-A8A6-74E24D1B7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352696</xdr:colOff>
      <xdr:row>5</xdr:row>
      <xdr:rowOff>73183</xdr:rowOff>
    </xdr:from>
    <xdr:to>
      <xdr:col>11</xdr:col>
      <xdr:colOff>51610</xdr:colOff>
      <xdr:row>6</xdr:row>
      <xdr:rowOff>33993</xdr:rowOff>
    </xdr:to>
    <xdr:sp macro="" textlink="">
      <xdr:nvSpPr>
        <xdr:cNvPr id="45" name="TextBox 44">
          <a:extLst>
            <a:ext uri="{FF2B5EF4-FFF2-40B4-BE49-F238E27FC236}">
              <a16:creationId xmlns:a16="http://schemas.microsoft.com/office/drawing/2014/main" id="{3DB0B22E-66B0-476B-AB77-281C5536569B}"/>
            </a:ext>
          </a:extLst>
        </xdr:cNvPr>
        <xdr:cNvSpPr txBox="1"/>
      </xdr:nvSpPr>
      <xdr:spPr>
        <a:xfrm>
          <a:off x="5856513" y="987583"/>
          <a:ext cx="918114"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ln w="6350">
                <a:solidFill>
                  <a:srgbClr val="FFFFC5"/>
                </a:solidFill>
              </a:ln>
              <a:solidFill>
                <a:srgbClr val="FFFFC5"/>
              </a:solidFill>
            </a:rPr>
            <a:t>No. of patient by gender</a:t>
          </a:r>
        </a:p>
      </xdr:txBody>
    </xdr:sp>
    <xdr:clientData/>
  </xdr:twoCellAnchor>
  <xdr:twoCellAnchor>
    <xdr:from>
      <xdr:col>9</xdr:col>
      <xdr:colOff>187235</xdr:colOff>
      <xdr:row>0</xdr:row>
      <xdr:rowOff>82731</xdr:rowOff>
    </xdr:from>
    <xdr:to>
      <xdr:col>11</xdr:col>
      <xdr:colOff>209006</xdr:colOff>
      <xdr:row>6</xdr:row>
      <xdr:rowOff>47897</xdr:rowOff>
    </xdr:to>
    <xdr:graphicFrame macro="">
      <xdr:nvGraphicFramePr>
        <xdr:cNvPr id="46" name="Chart 45">
          <a:extLst>
            <a:ext uri="{FF2B5EF4-FFF2-40B4-BE49-F238E27FC236}">
              <a16:creationId xmlns:a16="http://schemas.microsoft.com/office/drawing/2014/main" id="{813C6EBB-A8C2-44EE-AD03-948F47075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69669</xdr:colOff>
      <xdr:row>6</xdr:row>
      <xdr:rowOff>178526</xdr:rowOff>
    </xdr:from>
    <xdr:to>
      <xdr:col>11</xdr:col>
      <xdr:colOff>169817</xdr:colOff>
      <xdr:row>15</xdr:row>
      <xdr:rowOff>82731</xdr:rowOff>
    </xdr:to>
    <xdr:graphicFrame macro="">
      <xdr:nvGraphicFramePr>
        <xdr:cNvPr id="44" name="Chart 43">
          <a:extLst>
            <a:ext uri="{FF2B5EF4-FFF2-40B4-BE49-F238E27FC236}">
              <a16:creationId xmlns:a16="http://schemas.microsoft.com/office/drawing/2014/main" id="{3E1072CE-0DC6-418F-99DA-A37B89E22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42903</xdr:colOff>
      <xdr:row>14</xdr:row>
      <xdr:rowOff>138498</xdr:rowOff>
    </xdr:from>
    <xdr:to>
      <xdr:col>10</xdr:col>
      <xdr:colOff>226423</xdr:colOff>
      <xdr:row>15</xdr:row>
      <xdr:rowOff>99308</xdr:rowOff>
    </xdr:to>
    <xdr:sp macro="" textlink="">
      <xdr:nvSpPr>
        <xdr:cNvPr id="47" name="TextBox 46">
          <a:extLst>
            <a:ext uri="{FF2B5EF4-FFF2-40B4-BE49-F238E27FC236}">
              <a16:creationId xmlns:a16="http://schemas.microsoft.com/office/drawing/2014/main" id="{15F5A89F-2F4E-4D76-9419-E7B3D6F09F26}"/>
            </a:ext>
          </a:extLst>
        </xdr:cNvPr>
        <xdr:cNvSpPr txBox="1"/>
      </xdr:nvSpPr>
      <xdr:spPr>
        <a:xfrm>
          <a:off x="4937120" y="2698818"/>
          <a:ext cx="1402720"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ln w="6350">
                <a:solidFill>
                  <a:srgbClr val="FFFFC5"/>
                </a:solidFill>
              </a:ln>
              <a:solidFill>
                <a:srgbClr val="FFFFC5"/>
              </a:solidFill>
            </a:rPr>
            <a:t>No. of patient by Department referal</a:t>
          </a:r>
        </a:p>
      </xdr:txBody>
    </xdr:sp>
    <xdr:clientData/>
  </xdr:twoCellAnchor>
  <xdr:twoCellAnchor editAs="oneCell">
    <xdr:from>
      <xdr:col>5</xdr:col>
      <xdr:colOff>326572</xdr:colOff>
      <xdr:row>1</xdr:row>
      <xdr:rowOff>4355</xdr:rowOff>
    </xdr:from>
    <xdr:to>
      <xdr:col>6</xdr:col>
      <xdr:colOff>579119</xdr:colOff>
      <xdr:row>2</xdr:row>
      <xdr:rowOff>134983</xdr:rowOff>
    </xdr:to>
    <mc:AlternateContent xmlns:mc="http://schemas.openxmlformats.org/markup-compatibility/2006" xmlns:a14="http://schemas.microsoft.com/office/drawing/2010/main">
      <mc:Choice Requires="a14">
        <xdr:graphicFrame macro="">
          <xdr:nvGraphicFramePr>
            <xdr:cNvPr id="48" name="Date (Year)">
              <a:extLst>
                <a:ext uri="{FF2B5EF4-FFF2-40B4-BE49-F238E27FC236}">
                  <a16:creationId xmlns:a16="http://schemas.microsoft.com/office/drawing/2014/main" id="{D2CA3A2F-EF89-4751-87BB-4A05CA55179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74572" y="187235"/>
              <a:ext cx="862147" cy="313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30480</xdr:colOff>
      <xdr:row>0</xdr:row>
      <xdr:rowOff>87085</xdr:rowOff>
    </xdr:from>
    <xdr:to>
      <xdr:col>6</xdr:col>
      <xdr:colOff>278675</xdr:colOff>
      <xdr:row>1</xdr:row>
      <xdr:rowOff>47895</xdr:rowOff>
    </xdr:to>
    <xdr:sp macro="" textlink="">
      <xdr:nvSpPr>
        <xdr:cNvPr id="49" name="TextBox 48">
          <a:extLst>
            <a:ext uri="{FF2B5EF4-FFF2-40B4-BE49-F238E27FC236}">
              <a16:creationId xmlns:a16="http://schemas.microsoft.com/office/drawing/2014/main" id="{D3436E42-D647-4E93-A18F-B32D51B7C9AA}"/>
            </a:ext>
          </a:extLst>
        </xdr:cNvPr>
        <xdr:cNvSpPr txBox="1"/>
      </xdr:nvSpPr>
      <xdr:spPr>
        <a:xfrm>
          <a:off x="3688080" y="87085"/>
          <a:ext cx="248195" cy="14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ln w="6350">
                <a:solidFill>
                  <a:schemeClr val="accent6">
                    <a:lumMod val="60000"/>
                    <a:lumOff val="40000"/>
                  </a:schemeClr>
                </a:solidFill>
              </a:ln>
              <a:solidFill>
                <a:schemeClr val="accent6">
                  <a:lumMod val="60000"/>
                  <a:lumOff val="40000"/>
                </a:schemeClr>
              </a:solidFill>
            </a:rPr>
            <a:t>Years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0.16726</cdr:x>
      <cdr:y>0.86531</cdr:y>
    </cdr:from>
    <cdr:to>
      <cdr:x>0.86477</cdr:x>
      <cdr:y>1</cdr:y>
    </cdr:to>
    <cdr:sp macro="" textlink="">
      <cdr:nvSpPr>
        <cdr:cNvPr id="2" name="TextBox 39">
          <a:extLst xmlns:a="http://schemas.openxmlformats.org/drawingml/2006/main">
            <a:ext uri="{FF2B5EF4-FFF2-40B4-BE49-F238E27FC236}">
              <a16:creationId xmlns:a16="http://schemas.microsoft.com/office/drawing/2014/main" id="{446872E9-FA40-4282-84AF-BF2D7C40170D}"/>
            </a:ext>
          </a:extLst>
        </cdr:cNvPr>
        <cdr:cNvSpPr txBox="1"/>
      </cdr:nvSpPr>
      <cdr:spPr>
        <a:xfrm xmlns:a="http://schemas.openxmlformats.org/drawingml/2006/main">
          <a:off x="204651" y="923110"/>
          <a:ext cx="853440" cy="14369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700" b="0">
              <a:ln w="6350">
                <a:solidFill>
                  <a:srgbClr val="FFFFC5"/>
                </a:solidFill>
              </a:ln>
              <a:solidFill>
                <a:srgbClr val="FFFFC5"/>
              </a:solidFill>
            </a:rPr>
            <a:t>Patient Attend Status</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96252</xdr:colOff>
      <xdr:row>0</xdr:row>
      <xdr:rowOff>104275</xdr:rowOff>
    </xdr:from>
    <xdr:to>
      <xdr:col>18</xdr:col>
      <xdr:colOff>381000</xdr:colOff>
      <xdr:row>26</xdr:row>
      <xdr:rowOff>137160</xdr:rowOff>
    </xdr:to>
    <xdr:graphicFrame macro="">
      <xdr:nvGraphicFramePr>
        <xdr:cNvPr id="2" name="Chart 1">
          <a:extLst>
            <a:ext uri="{FF2B5EF4-FFF2-40B4-BE49-F238E27FC236}">
              <a16:creationId xmlns:a16="http://schemas.microsoft.com/office/drawing/2014/main" id="{8AB3437A-9CB1-440C-8944-5236C622D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518160</xdr:colOff>
      <xdr:row>26</xdr:row>
      <xdr:rowOff>114300</xdr:rowOff>
    </xdr:from>
    <xdr:ext cx="6006131" cy="280205"/>
    <xdr:sp macro="" textlink="">
      <xdr:nvSpPr>
        <xdr:cNvPr id="3" name="TextBox 2">
          <a:extLst>
            <a:ext uri="{FF2B5EF4-FFF2-40B4-BE49-F238E27FC236}">
              <a16:creationId xmlns:a16="http://schemas.microsoft.com/office/drawing/2014/main" id="{EC492CD0-B048-4324-A937-918F241E3F69}"/>
            </a:ext>
          </a:extLst>
        </xdr:cNvPr>
        <xdr:cNvSpPr txBox="1"/>
      </xdr:nvSpPr>
      <xdr:spPr>
        <a:xfrm>
          <a:off x="2956560" y="4869180"/>
          <a:ext cx="6006131" cy="280205"/>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.To Show a daily trend with an area chart to spot patterns like busy days or seasonal trends</a:t>
          </a:r>
          <a:endParaRPr lang="en-IN" sz="1200" b="1"/>
        </a:p>
      </xdr:txBody>
    </xdr:sp>
    <xdr:clientData/>
  </xdr:oneCellAnchor>
</xdr:wsDr>
</file>

<file path=xl/drawings/drawing5.xml><?xml version="1.0" encoding="utf-8"?>
<c:userShapes xmlns:c="http://schemas.openxmlformats.org/drawingml/2006/chart">
  <cdr:relSizeAnchor xmlns:cdr="http://schemas.openxmlformats.org/drawingml/2006/chartDrawing">
    <cdr:from>
      <cdr:x>0.00609</cdr:x>
      <cdr:y>0.01658</cdr:y>
    </cdr:from>
    <cdr:to>
      <cdr:x>0.05846</cdr:x>
      <cdr:y>0.13322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5C81B21-CD89-438F-92EC-22ED2921C9D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8580" y="83820"/>
          <a:ext cx="589548" cy="589548"/>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396240</xdr:colOff>
      <xdr:row>26</xdr:row>
      <xdr:rowOff>22860</xdr:rowOff>
    </xdr:to>
    <xdr:graphicFrame macro="">
      <xdr:nvGraphicFramePr>
        <xdr:cNvPr id="2" name="Chart 1">
          <a:extLst>
            <a:ext uri="{FF2B5EF4-FFF2-40B4-BE49-F238E27FC236}">
              <a16:creationId xmlns:a16="http://schemas.microsoft.com/office/drawing/2014/main" id="{8FA53C72-A88D-49FF-AC75-C644692D3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541020</xdr:colOff>
      <xdr:row>26</xdr:row>
      <xdr:rowOff>68580</xdr:rowOff>
    </xdr:from>
    <xdr:ext cx="5527795" cy="280205"/>
    <xdr:sp macro="" textlink="">
      <xdr:nvSpPr>
        <xdr:cNvPr id="3" name="TextBox 2">
          <a:extLst>
            <a:ext uri="{FF2B5EF4-FFF2-40B4-BE49-F238E27FC236}">
              <a16:creationId xmlns:a16="http://schemas.microsoft.com/office/drawing/2014/main" id="{E567DA93-E0B1-419A-909A-89AFE8D07B89}"/>
            </a:ext>
          </a:extLst>
        </xdr:cNvPr>
        <xdr:cNvSpPr txBox="1"/>
      </xdr:nvSpPr>
      <xdr:spPr>
        <a:xfrm>
          <a:off x="2979420" y="4823460"/>
          <a:ext cx="5527795" cy="280205"/>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.To Track daily changes with an area chart and highlight dates with longer wait time</a:t>
          </a:r>
          <a:endParaRPr lang="en-IN" sz="1200" b="1"/>
        </a:p>
      </xdr:txBody>
    </xdr:sp>
    <xdr:clientData/>
  </xdr:oneCellAnchor>
</xdr:wsDr>
</file>

<file path=xl/drawings/drawing7.xml><?xml version="1.0" encoding="utf-8"?>
<c:userShapes xmlns:c="http://schemas.openxmlformats.org/drawingml/2006/chart">
  <cdr:relSizeAnchor xmlns:cdr="http://schemas.openxmlformats.org/drawingml/2006/chartDrawing">
    <cdr:from>
      <cdr:x>0</cdr:x>
      <cdr:y>0</cdr:y>
    </cdr:from>
    <cdr:to>
      <cdr:x>0.05094</cdr:x>
      <cdr:y>0.11446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DC7F61D-D66A-4A73-AC4A-382483FAE66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79120" cy="57912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oneCellAnchor>
    <xdr:from>
      <xdr:col>4</xdr:col>
      <xdr:colOff>91440</xdr:colOff>
      <xdr:row>26</xdr:row>
      <xdr:rowOff>91440</xdr:rowOff>
    </xdr:from>
    <xdr:ext cx="6759158" cy="280205"/>
    <xdr:sp macro="" textlink="">
      <xdr:nvSpPr>
        <xdr:cNvPr id="2" name="TextBox 1">
          <a:extLst>
            <a:ext uri="{FF2B5EF4-FFF2-40B4-BE49-F238E27FC236}">
              <a16:creationId xmlns:a16="http://schemas.microsoft.com/office/drawing/2014/main" id="{306BFCE2-7EB0-4DE0-B700-686D085ED1EA}"/>
            </a:ext>
          </a:extLst>
        </xdr:cNvPr>
        <xdr:cNvSpPr txBox="1"/>
      </xdr:nvSpPr>
      <xdr:spPr>
        <a:xfrm>
          <a:off x="2529840" y="4846320"/>
          <a:ext cx="6759158" cy="280205"/>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solidFill>
                <a:schemeClr val="bg1"/>
              </a:solidFill>
            </a:rPr>
            <a:t>.Use an Area Chart to show trends, spot drops in satisfaction, and link them to busy time and challenges</a:t>
          </a:r>
          <a:endParaRPr lang="en-IN" sz="1200" b="1"/>
        </a:p>
      </xdr:txBody>
    </xdr:sp>
    <xdr:clientData/>
  </xdr:oneCellAnchor>
  <xdr:twoCellAnchor editAs="oneCell">
    <xdr:from>
      <xdr:col>0</xdr:col>
      <xdr:colOff>121920</xdr:colOff>
      <xdr:row>0</xdr:row>
      <xdr:rowOff>53340</xdr:rowOff>
    </xdr:from>
    <xdr:to>
      <xdr:col>1</xdr:col>
      <xdr:colOff>121920</xdr:colOff>
      <xdr:row>3</xdr:row>
      <xdr:rowOff>114300</xdr:rowOff>
    </xdr:to>
    <xdr:pic>
      <xdr:nvPicPr>
        <xdr:cNvPr id="5" name="Graphic 4" descr="Home with solid fill">
          <a:hlinkClick xmlns:r="http://schemas.openxmlformats.org/officeDocument/2006/relationships" r:id="rId1"/>
          <a:extLst>
            <a:ext uri="{FF2B5EF4-FFF2-40B4-BE49-F238E27FC236}">
              <a16:creationId xmlns:a16="http://schemas.microsoft.com/office/drawing/2014/main" id="{49FBDC2A-454B-44F1-9295-C36B8D7F09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1920" y="53340"/>
          <a:ext cx="609600" cy="609600"/>
        </a:xfrm>
        <a:prstGeom prst="rect">
          <a:avLst/>
        </a:prstGeom>
      </xdr:spPr>
    </xdr:pic>
    <xdr:clientData/>
  </xdr:twoCellAnchor>
  <xdr:twoCellAnchor>
    <xdr:from>
      <xdr:col>0</xdr:col>
      <xdr:colOff>548640</xdr:colOff>
      <xdr:row>3</xdr:row>
      <xdr:rowOff>175260</xdr:rowOff>
    </xdr:from>
    <xdr:to>
      <xdr:col>17</xdr:col>
      <xdr:colOff>510540</xdr:colOff>
      <xdr:row>26</xdr:row>
      <xdr:rowOff>68580</xdr:rowOff>
    </xdr:to>
    <xdr:graphicFrame macro="">
      <xdr:nvGraphicFramePr>
        <xdr:cNvPr id="6" name="Chart 5">
          <a:extLst>
            <a:ext uri="{FF2B5EF4-FFF2-40B4-BE49-F238E27FC236}">
              <a16:creationId xmlns:a16="http://schemas.microsoft.com/office/drawing/2014/main" id="{54E68848-3CF4-424C-87DA-C3E3CF2CE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47337962" createdVersion="5" refreshedVersion="7" minRefreshableVersion="3" recordCount="0" supportSubquery="1" supportAdvancedDrill="1" xr:uid="{ECB51AAD-C91B-4CD0-98D0-27C6A4CD087D}">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3" level="1">
      <sharedItems containsNonDate="0" count="12">
        <s v="Jan"/>
        <s v="Feb"/>
        <s v="Mar"/>
        <s v="Apr"/>
        <s v="May"/>
        <s v="Jun"/>
        <s v="Jul"/>
        <s v="Aug"/>
        <s v="Sep"/>
        <s v="Oct"/>
        <s v="Nov"/>
        <s v="Dec"/>
      </sharedItems>
    </cacheField>
    <cacheField name="[Calendar_Table].[Date (Quarter)].[Date (Quarter)]" caption="Date (Quarter)" numFmtId="0" hierarchy="2" level="1">
      <sharedItems containsNonDate="0" count="4">
        <s v="Qtr1"/>
        <s v="Qtr2"/>
        <s v="Qtr3"/>
        <s v="Qtr4"/>
      </sharedItems>
    </cacheField>
    <cacheField name="[Calendar_Table].[Date (Year)].[Date (Year)]" caption="Date (Year)" numFmtId="0" hierarchy="1" level="1">
      <sharedItems count="2">
        <s v="2023"/>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48032409" createdVersion="5" refreshedVersion="7" minRefreshableVersion="3" recordCount="0" supportSubquery="1" supportAdvancedDrill="1" xr:uid="{517244E5-E46D-4141-9F3C-DCB807A54E43}">
  <cacheSource type="external" connectionId="3"/>
  <cacheFields count="3">
    <cacheField name="[Measures].[Distinct Count of Patient Id]" caption="Distinct Count of Patient Id" numFmtId="0" hierarchy="24" level="32767"/>
    <cacheField name="[Calendar_Table].[Date (Day)].[Date (Day)]" caption="Date (Day)" numFmtId="0" hierarchy="4"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48958332" createdVersion="5" refreshedVersion="7" minRefreshableVersion="3" recordCount="0" supportSubquery="1" supportAdvancedDrill="1" xr:uid="{99ECB0B2-6EE4-409C-91C4-7ADAA4CFF59A}">
  <cacheSource type="external" connectionId="3"/>
  <cacheFields count="3">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4953704" createdVersion="5" refreshedVersion="7" minRefreshableVersion="3" recordCount="0" supportSubquery="1" supportAdvancedDrill="1" xr:uid="{96998B8A-C20B-4AF7-ABCD-526DF248AC10}">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49768518" createdVersion="5" refreshedVersion="7" minRefreshableVersion="3" recordCount="0" supportSubquery="1" supportAdvancedDrill="1" xr:uid="{C9D01804-A5A5-404A-9F84-D55245F03799}">
  <cacheSource type="external" connectionId="3"/>
  <cacheFields count="2">
    <cacheField name="[Measures].[Distinct Count of Patient Id]" caption="Distinct Count of Patient Id" numFmtId="0" hierarchy="24"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50347225" createdVersion="5" refreshedVersion="7" minRefreshableVersion="3" recordCount="0" supportSubquery="1" supportAdvancedDrill="1" xr:uid="{DB36B827-4B9A-40F1-9AF0-7EB3A8F6C49C}">
  <cacheSource type="external" connectionId="3"/>
  <cacheFields count="2">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51041665" createdVersion="5" refreshedVersion="7" minRefreshableVersion="3" recordCount="0" supportSubquery="1" supportAdvancedDrill="1" xr:uid="{A623A71B-BCB2-4C00-80AC-D949D8F1250F}">
  <cacheSource type="external" connectionId="3"/>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1"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51620373" createdVersion="5" refreshedVersion="7" minRefreshableVersion="3" recordCount="0" supportSubquery="1" supportAdvancedDrill="1" xr:uid="{2156406B-70A8-4887-91D3-A9BE7AAD7826}">
  <cacheSource type="external" connectionId="3"/>
  <cacheFields count="3">
    <cacheField name="[Calendar_Table].[Date (Day)].[Date (Day)]" caption="Date (Day)" numFmtId="0" hierarchy="4"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52662035" createdVersion="5" refreshedVersion="7" minRefreshableVersion="3" recordCount="0" supportSubquery="1" supportAdvancedDrill="1" xr:uid="{C857FCD7-64A8-4189-9231-1D594CE05E35}">
  <cacheSource type="external" connectionId="3"/>
  <cacheFields count="3">
    <cacheField name="[Calendar_Table].[Date (Day)].[Date (Day)]" caption="Date (Day)" numFmtId="0" hierarchy="4"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8"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53240743" createdVersion="5" refreshedVersion="7" minRefreshableVersion="3" recordCount="0" supportSubquery="1" supportAdvancedDrill="1" xr:uid="{AFDFD038-4EFD-4721-8A88-184509A6CB42}">
  <cacheSource type="external" connectionId="3"/>
  <cacheFields count="2">
    <cacheField name="[Measures].[Average of Patient Satisfaction Score]" caption="Average of Patient Satisfaction Score" numFmtId="0" hierarchy="28"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54282405" createdVersion="5" refreshedVersion="7" minRefreshableVersion="3" recordCount="0" supportSubquery="1" supportAdvancedDrill="1" xr:uid="{69573621-F9B3-4BE2-BF59-BB7B588F0478}">
  <cacheSource type="external" connectionId="3"/>
  <cacheFields count="3">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1.656454745367" createdVersion="5" refreshedVersion="7" minRefreshableVersion="3" recordCount="0" supportSubquery="1" supportAdvancedDrill="1" xr:uid="{0BACD581-12E9-449F-A08A-BD1199B811A4}">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40.934981134262" createdVersion="3" refreshedVersion="7" minRefreshableVersion="3" recordCount="0" supportSubquery="1" supportAdvancedDrill="1" xr:uid="{083C2F45-B992-4E53-8EF4-44E987198A5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Var of Patient Id]" caption="Var of Patient Id" measure="1" displayFolder="" measureGroup="Hospital Emergency Room 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7604571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09980-D783-4A7A-B34B-99A34D2B70DD}" name="PivotTable6" cacheId="8" applyNumberFormats="0" applyBorderFormats="0" applyFontFormats="0" applyPatternFormats="0" applyAlignmentFormats="0" applyWidthHeightFormats="1" dataCaption="Values" tag="16b93719-95e5-4877-b835-cd75eea5713b" updatedVersion="7" minRefreshableVersion="3" useAutoFormatting="1" subtotalHiddenItems="1" itemPrintTitles="1" createdVersion="5" indent="0" outline="1" outlineData="1" multipleFieldFilters="0" chartFormat="14">
  <location ref="I4:J368"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1">
    <format dxfId="0">
      <pivotArea collapsedLevelsAreSubtotals="1" fieldPosition="0">
        <references count="1">
          <reference field="0" count="0"/>
        </references>
      </pivotArea>
    </format>
  </formats>
  <chartFormats count="2">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40630-DEE5-41F1-80D1-FAF70E139EA7}" name="PivotTable2" cacheId="4" applyNumberFormats="0" applyBorderFormats="0" applyFontFormats="0" applyPatternFormats="0" applyAlignmentFormats="0" applyWidthHeightFormats="1" dataCaption="Values" tag="16b93719-95e5-4877-b835-cd75eea5713b" updatedVersion="7"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20B235-EC78-4053-B22D-968FC8FD8028}" name="PivotTable7" cacheId="9" applyNumberFormats="0" applyBorderFormats="0" applyFontFormats="0" applyPatternFormats="0" applyAlignmentFormats="0" applyWidthHeightFormats="1" dataCaption="Values" tag="1ef9d37f-bd82-49c0-9fe0-3b5b8e2f4b68" updatedVersion="7" minRefreshableVersion="3" useAutoFormatting="1"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C55FED-CEB8-4290-B1C2-3ED9B2A0C0D9}" name="PivotTable12" cacheId="0" applyNumberFormats="0" applyBorderFormats="0" applyFontFormats="0" applyPatternFormats="0" applyAlignmentFormats="0" applyWidthHeightFormats="1" dataCaption="Values" tag="c40815c7-989a-4f40-9fa4-e215693d4be3" updatedVersion="7" minRefreshableVersion="3" subtotalHiddenItems="1" itemPrintTitles="1" createdVersion="5" indent="0" outline="1" outlineData="1" multipleFieldFilters="0" chartFormat="26">
  <location ref="A427:A430"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2">
    <format dxfId="3">
      <pivotArea outline="0" collapsedLevelsAreSubtotals="1" fieldPosition="0"/>
    </format>
    <format dxfId="2">
      <pivotArea grandRow="1"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83D68-A0F6-4BAD-B9B6-8B109812E96B}" name="PivotTable9" cacheId="11" applyNumberFormats="0" applyBorderFormats="0" applyFontFormats="0" applyPatternFormats="0" applyAlignmentFormats="0" applyWidthHeightFormats="1" dataCaption="Values" tag="c40815c7-989a-4f40-9fa4-e215693d4be3" updatedVersion="7" minRefreshableVersion="3" subtotalHiddenItems="1" itemPrintTitles="1" createdVersion="5" indent="0" outline="1" outlineData="1" multipleFieldFilters="0" chartFormat="26">
  <location ref="A414:B423"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5">
      <pivotArea outline="0" collapsedLevelsAreSubtotals="1" fieldPosition="0"/>
    </format>
    <format dxfId="4">
      <pivotArea grandRow="1"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6B5265-BF99-4133-BD8D-F53B20313420}" name="PivotTable10" cacheId="2" applyNumberFormats="0" applyBorderFormats="0" applyFontFormats="0" applyPatternFormats="0" applyAlignmentFormats="0" applyWidthHeightFormats="1" dataCaption="Values" tag="48bfebb1-e6bc-4ccd-997d-98fda10d12cb" updatedVersion="7" minRefreshableVersion="3" subtotalHiddenItems="1" itemPrintTitles="1" createdVersion="5" indent="0" outline="1" outlineData="1" multipleFieldFilters="0" chartFormat="20">
  <location ref="A400:B40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4">
    <format dxfId="9">
      <pivotArea outline="0" collapsedLevelsAreSubtotals="1" fieldPosition="0"/>
    </format>
    <format dxfId="8">
      <pivotArea grandRow="1" outline="0" collapsedLevelsAreSubtotals="1" fieldPosition="0"/>
    </format>
    <format dxfId="7">
      <pivotArea collapsedLevelsAreSubtotals="1" fieldPosition="0">
        <references count="1">
          <reference field="0" count="1">
            <x v="0"/>
          </reference>
        </references>
      </pivotArea>
    </format>
    <format dxfId="6">
      <pivotArea collapsedLevelsAreSubtotals="1" fieldPosition="0">
        <references count="1">
          <reference field="0" count="1">
            <x v="1"/>
          </reference>
        </references>
      </pivotArea>
    </format>
  </formats>
  <chartFormats count="6">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0"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0" count="1" selected="0">
            <x v="0"/>
          </reference>
        </references>
      </pivotArea>
    </chartFormat>
    <chartFormat chart="17"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8580FA-0DBE-4087-A8F0-926D2B6113FD}" name="PivotTable1" cacheId="1" applyNumberFormats="0" applyBorderFormats="0" applyFontFormats="0" applyPatternFormats="0" applyAlignmentFormats="0" applyWidthHeightFormats="1" dataCaption="Values" tag="16b93719-95e5-4877-b835-cd75eea5713b" updatedVersion="7" minRefreshableVersion="3" useAutoFormatting="1" subtotalHiddenItems="1" itemPrintTitles="1" createdVersion="5" indent="0" outline="1" outlineData="1" multipleFieldFilters="0" chartFormat="6">
  <location ref="C4:D371"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BFAC07-689E-44AA-AFE6-5CAA866054AF}" name="PivotTable8" cacheId="10" applyNumberFormats="0" applyBorderFormats="0" applyFontFormats="0" applyPatternFormats="0" applyAlignmentFormats="0" applyWidthHeightFormats="1" dataCaption="Values" tag="204c943a-d2fb-43c6-9c38-bb666bc2d54a" updatedVersion="7" minRefreshableVersion="3" subtotalHiddenItems="1" itemPrintTitles="1" createdVersion="5" indent="0" outline="1" outlineData="1" multipleFieldFilters="0" chartFormat="15">
  <location ref="A387:B39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3">
    <format dxfId="12">
      <pivotArea outline="0" collapsedLevelsAreSubtotals="1" fieldPosition="0"/>
    </format>
    <format dxfId="11">
      <pivotArea collapsedLevelsAreSubtotals="1" fieldPosition="0">
        <references count="1">
          <reference field="0" count="0"/>
        </references>
      </pivotArea>
    </format>
    <format dxfId="10">
      <pivotArea grandRow="1"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F64C06-86DC-4CEE-A883-B554DEF30A2B}" name="PivotTable3" cacheId="5" applyNumberFormats="0" applyBorderFormats="0" applyFontFormats="0" applyPatternFormats="0" applyAlignmentFormats="0" applyWidthHeightFormats="1" dataCaption="Values" tag="27915364-4037-4d0d-844b-de51c6d3f3df" updatedVersion="7"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FE2B5C-FCAF-41D6-8B59-D9C3FDC515B4}" name="PivotTable11" cacheId="3" applyNumberFormats="0" applyBorderFormats="0" applyFontFormats="0" applyPatternFormats="0" applyAlignmentFormats="0" applyWidthHeightFormats="1" dataCaption="Values" tag="c40815c7-989a-4f40-9fa4-e215693d4be3" updatedVersion="7" minRefreshableVersion="3" subtotalHiddenItems="1" itemPrintTitles="1" createdVersion="5" indent="0" outline="1" outlineData="1" multipleFieldFilters="0" chartFormat="23">
  <location ref="A407:B4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2">
    <format dxfId="15">
      <pivotArea outline="0" collapsedLevelsAreSubtotals="1" fieldPosition="0"/>
    </format>
    <format dxfId="14">
      <pivotArea grandRow="1" outline="0" collapsedLevelsAreSubtotals="1" fieldPosition="0"/>
    </format>
  </formats>
  <chartFormats count="6">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0" count="1" selected="0">
            <x v="0"/>
          </reference>
        </references>
      </pivotArea>
    </chartFormat>
    <chartFormat chart="21" format="3">
      <pivotArea type="data" outline="0" fieldPosition="0">
        <references count="2">
          <reference field="4294967294" count="1" selected="0">
            <x v="0"/>
          </reference>
          <reference field="0"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0" count="1" selected="0">
            <x v="0"/>
          </reference>
        </references>
      </pivotArea>
    </chartFormat>
    <chartFormat chart="22"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CEF2C1-045C-4F81-A12E-4CB35B7D1E68}" name="PivotTable5" cacheId="7" applyNumberFormats="0" applyBorderFormats="0" applyFontFormats="0" applyPatternFormats="0" applyAlignmentFormats="0" applyWidthHeightFormats="1" dataCaption="Values" tag="16b93719-95e5-4877-b835-cd75eea5713b" updatedVersion="7" minRefreshableVersion="3" useAutoFormatting="1" subtotalHiddenItems="1" itemPrintTitles="1" createdVersion="5" indent="0" outline="1" outlineData="1" multipleFieldFilters="0" chartFormat="14">
  <location ref="F4:G371"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dataFields>
  <formats count="1">
    <format dxfId="16">
      <pivotArea collapsedLevelsAreSubtotals="1" fieldPosition="0">
        <references count="1">
          <reference field="0" count="0"/>
        </references>
      </pivotArea>
    </format>
  </formats>
  <chartFormats count="2">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56476D-EB7E-48BE-9241-55A3CB855E93}" name="PivotTable4" cacheId="6" applyNumberFormats="0" applyBorderFormats="0" applyFontFormats="0" applyPatternFormats="0" applyAlignmentFormats="0" applyWidthHeightFormats="1" dataCaption="Values" tag="388c91b1-8f4f-4df8-b2e5-bb9f1ec140b4" updatedVersion="7" minRefreshableVersion="3" subtotalHiddenItems="1" itemPrintTitles="1" createdVersion="5" indent="0" outline="1" outlineData="1" multipleFieldFilters="0" chartFormat="12">
  <location ref="A373:C37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
      <pivotArea outline="0" collapsedLevelsAreSubtotals="1" fieldPosition="0"/>
    </format>
    <format dxfId="17">
      <pivotArea outline="0" fieldPosition="0">
        <references count="1">
          <reference field="4294967294" count="1">
            <x v="1"/>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1" format="3">
      <pivotArea type="data" outline="0" fieldPosition="0">
        <references count="2">
          <reference field="4294967294" count="1" selected="0">
            <x v="0"/>
          </reference>
          <reference field="0"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E459C62-D4DA-4E09-B2A0-9A4905F9CEFC}" sourceName="[Calendar_Table].[Date (Month)]">
  <pivotTables>
    <pivotTable tabId="3" name="PivotTable1"/>
    <pivotTable tabId="3" name="PivotTable2"/>
    <pivotTable tabId="3" name="PivotTable3"/>
    <pivotTable tabId="3" name="PivotTable5"/>
    <pivotTable tabId="3" name="PivotTable6"/>
    <pivotTable tabId="3" name="PivotTable4"/>
    <pivotTable tabId="3" name="PivotTable7"/>
    <pivotTable tabId="3" name="PivotTable8"/>
    <pivotTable tabId="3" name="PivotTable10"/>
    <pivotTable tabId="3" name="PivotTable11"/>
    <pivotTable tabId="3" name="PivotTable9"/>
    <pivotTable tabId="3" name="PivotTable12"/>
  </pivotTables>
  <data>
    <olap pivotCacheId="76045712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5D99777-913F-4D50-9BFD-FE8C999D3401}" sourceName="[Calendar_Table].[Date (Year)]">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76045712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C8136167-A979-4A42-B1C7-399AE5FC3B26}" cache="Slicer_Date__Month" caption="Date (Month)" showCaption="0" level="1" style="Slicer Style 1" rowHeight="144000"/>
  <slicer name="Date (Year)" xr10:uid="{64BE9E1C-B3E6-49F0-ADFF-0AE9090B8D5E}" cache="Slicer_Date__Year" caption="Date (Year)" columnCount="2" showCaption="0" level="1" style="Slicer Style 2"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40F3-E010-4341-A038-41D525685E5F}">
  <dimension ref="A3:J430"/>
  <sheetViews>
    <sheetView topLeftCell="A418" zoomScale="84" zoomScaleNormal="84" workbookViewId="0">
      <selection activeCell="L5" sqref="L5"/>
    </sheetView>
  </sheetViews>
  <sheetFormatPr defaultRowHeight="14.4" x14ac:dyDescent="0.3"/>
  <cols>
    <col min="1" max="1" width="32.44140625" bestFit="1" customWidth="1"/>
    <col min="2" max="2" width="29.21875" bestFit="1" customWidth="1"/>
    <col min="3" max="3" width="12.6640625" bestFit="1" customWidth="1"/>
    <col min="4" max="4" width="23.88671875" bestFit="1" customWidth="1"/>
    <col min="5" max="5" width="27.44140625" customWidth="1"/>
    <col min="6" max="6" width="12.6640625" bestFit="1" customWidth="1"/>
    <col min="7" max="7" width="25" bestFit="1" customWidth="1"/>
    <col min="8" max="8" width="10.33203125" bestFit="1" customWidth="1"/>
    <col min="9" max="9" width="12.6640625" bestFit="1" customWidth="1"/>
    <col min="10" max="10" width="32.44140625" bestFit="1" customWidth="1"/>
    <col min="11" max="582" width="10.33203125" bestFit="1" customWidth="1"/>
    <col min="583" max="583" width="10.77734375" bestFit="1" customWidth="1"/>
  </cols>
  <sheetData>
    <row r="3" spans="1:10" x14ac:dyDescent="0.3">
      <c r="A3" t="s">
        <v>1</v>
      </c>
      <c r="C3" t="s">
        <v>372</v>
      </c>
      <c r="F3" t="s">
        <v>373</v>
      </c>
      <c r="I3" t="s">
        <v>374</v>
      </c>
    </row>
    <row r="4" spans="1:10" x14ac:dyDescent="0.3">
      <c r="A4" t="s">
        <v>0</v>
      </c>
      <c r="C4" s="3" t="s">
        <v>5</v>
      </c>
      <c r="D4" t="s">
        <v>0</v>
      </c>
      <c r="F4" s="3" t="s">
        <v>5</v>
      </c>
      <c r="G4" t="s">
        <v>2</v>
      </c>
      <c r="I4" s="3" t="s">
        <v>5</v>
      </c>
      <c r="J4" t="s">
        <v>3</v>
      </c>
    </row>
    <row r="5" spans="1:10" x14ac:dyDescent="0.3">
      <c r="A5">
        <v>9216</v>
      </c>
      <c r="C5" s="4" t="s">
        <v>6</v>
      </c>
      <c r="D5">
        <v>19</v>
      </c>
      <c r="F5" s="4" t="s">
        <v>6</v>
      </c>
      <c r="G5" s="1">
        <v>37.789473684210527</v>
      </c>
      <c r="I5" s="4" t="s">
        <v>6</v>
      </c>
      <c r="J5" s="1">
        <v>6.666666666666667</v>
      </c>
    </row>
    <row r="6" spans="1:10" x14ac:dyDescent="0.3">
      <c r="C6" s="4" t="s">
        <v>7</v>
      </c>
      <c r="D6">
        <v>14</v>
      </c>
      <c r="F6" s="4" t="s">
        <v>7</v>
      </c>
      <c r="G6" s="1">
        <v>38.214285714285715</v>
      </c>
      <c r="I6" s="4" t="s">
        <v>7</v>
      </c>
      <c r="J6" s="1">
        <v>3.5</v>
      </c>
    </row>
    <row r="7" spans="1:10" x14ac:dyDescent="0.3">
      <c r="C7" s="4" t="s">
        <v>8</v>
      </c>
      <c r="D7">
        <v>13</v>
      </c>
      <c r="F7" s="4" t="s">
        <v>8</v>
      </c>
      <c r="G7" s="1">
        <v>40.92307692307692</v>
      </c>
      <c r="I7" s="4" t="s">
        <v>8</v>
      </c>
      <c r="J7" s="1">
        <v>4.5</v>
      </c>
    </row>
    <row r="8" spans="1:10" x14ac:dyDescent="0.3">
      <c r="A8" t="s">
        <v>2</v>
      </c>
      <c r="C8" s="4" t="s">
        <v>9</v>
      </c>
      <c r="D8">
        <v>22</v>
      </c>
      <c r="F8" s="4" t="s">
        <v>9</v>
      </c>
      <c r="G8" s="1">
        <v>34.5</v>
      </c>
      <c r="I8" s="4" t="s">
        <v>9</v>
      </c>
      <c r="J8" s="1">
        <v>4.8</v>
      </c>
    </row>
    <row r="9" spans="1:10" x14ac:dyDescent="0.3">
      <c r="A9" s="1">
        <v>35.259874131944443</v>
      </c>
      <c r="C9" s="4" t="s">
        <v>10</v>
      </c>
      <c r="D9">
        <v>19</v>
      </c>
      <c r="F9" s="4" t="s">
        <v>10</v>
      </c>
      <c r="G9" s="1">
        <v>30.684210526315791</v>
      </c>
      <c r="I9" s="4" t="s">
        <v>10</v>
      </c>
      <c r="J9" s="1">
        <v>7.75</v>
      </c>
    </row>
    <row r="10" spans="1:10" x14ac:dyDescent="0.3">
      <c r="C10" s="4" t="s">
        <v>11</v>
      </c>
      <c r="D10">
        <v>15</v>
      </c>
      <c r="F10" s="4" t="s">
        <v>11</v>
      </c>
      <c r="G10" s="1">
        <v>37.666666666666664</v>
      </c>
      <c r="I10" s="4" t="s">
        <v>11</v>
      </c>
      <c r="J10" s="1">
        <v>6.2</v>
      </c>
    </row>
    <row r="11" spans="1:10" x14ac:dyDescent="0.3">
      <c r="A11" t="s">
        <v>3</v>
      </c>
      <c r="C11" s="4" t="s">
        <v>12</v>
      </c>
      <c r="D11">
        <v>12</v>
      </c>
      <c r="F11" s="4" t="s">
        <v>12</v>
      </c>
      <c r="G11" s="1">
        <v>36.083333333333336</v>
      </c>
      <c r="I11" s="4" t="s">
        <v>12</v>
      </c>
      <c r="J11" s="1">
        <v>3.75</v>
      </c>
    </row>
    <row r="12" spans="1:10" x14ac:dyDescent="0.3">
      <c r="A12" s="1">
        <v>4.9920540325784666</v>
      </c>
      <c r="C12" s="4" t="s">
        <v>13</v>
      </c>
      <c r="D12">
        <v>21</v>
      </c>
      <c r="F12" s="4" t="s">
        <v>13</v>
      </c>
      <c r="G12" s="1">
        <v>43.523809523809526</v>
      </c>
      <c r="I12" s="4" t="s">
        <v>13</v>
      </c>
      <c r="J12" s="1">
        <v>6.5</v>
      </c>
    </row>
    <row r="13" spans="1:10" x14ac:dyDescent="0.3">
      <c r="C13" s="4" t="s">
        <v>14</v>
      </c>
      <c r="D13">
        <v>12</v>
      </c>
      <c r="F13" s="4" t="s">
        <v>14</v>
      </c>
      <c r="G13" s="1">
        <v>29.5</v>
      </c>
      <c r="I13" s="4" t="s">
        <v>14</v>
      </c>
      <c r="J13" s="1">
        <v>3</v>
      </c>
    </row>
    <row r="14" spans="1:10" x14ac:dyDescent="0.3">
      <c r="C14" s="4" t="s">
        <v>15</v>
      </c>
      <c r="D14">
        <v>13</v>
      </c>
      <c r="F14" s="4" t="s">
        <v>15</v>
      </c>
      <c r="G14" s="1">
        <v>38.07692307692308</v>
      </c>
      <c r="I14" s="4" t="s">
        <v>15</v>
      </c>
      <c r="J14" s="1">
        <v>4.5</v>
      </c>
    </row>
    <row r="15" spans="1:10" x14ac:dyDescent="0.3">
      <c r="C15" s="4" t="s">
        <v>16</v>
      </c>
      <c r="D15">
        <v>13</v>
      </c>
      <c r="F15" s="4" t="s">
        <v>16</v>
      </c>
      <c r="G15" s="1">
        <v>35.846153846153847</v>
      </c>
      <c r="I15" s="4" t="s">
        <v>16</v>
      </c>
      <c r="J15" s="1">
        <v>6</v>
      </c>
    </row>
    <row r="16" spans="1:10" x14ac:dyDescent="0.3">
      <c r="C16" s="4" t="s">
        <v>17</v>
      </c>
      <c r="D16">
        <v>16</v>
      </c>
      <c r="F16" s="4" t="s">
        <v>17</v>
      </c>
      <c r="G16" s="1">
        <v>32.625</v>
      </c>
      <c r="I16" s="4" t="s">
        <v>17</v>
      </c>
      <c r="J16" s="1">
        <v>5.2</v>
      </c>
    </row>
    <row r="17" spans="3:10" x14ac:dyDescent="0.3">
      <c r="C17" s="4" t="s">
        <v>18</v>
      </c>
      <c r="D17">
        <v>20</v>
      </c>
      <c r="F17" s="4" t="s">
        <v>18</v>
      </c>
      <c r="G17" s="1">
        <v>39.200000000000003</v>
      </c>
      <c r="I17" s="4" t="s">
        <v>18</v>
      </c>
      <c r="J17" s="1">
        <v>4.4000000000000004</v>
      </c>
    </row>
    <row r="18" spans="3:10" x14ac:dyDescent="0.3">
      <c r="C18" s="4" t="s">
        <v>19</v>
      </c>
      <c r="D18">
        <v>25</v>
      </c>
      <c r="F18" s="4" t="s">
        <v>19</v>
      </c>
      <c r="G18" s="1">
        <v>35.28</v>
      </c>
      <c r="I18" s="4" t="s">
        <v>19</v>
      </c>
      <c r="J18" s="1">
        <v>3.4545454545454546</v>
      </c>
    </row>
    <row r="19" spans="3:10" x14ac:dyDescent="0.3">
      <c r="C19" s="4" t="s">
        <v>20</v>
      </c>
      <c r="D19">
        <v>20</v>
      </c>
      <c r="F19" s="4" t="s">
        <v>20</v>
      </c>
      <c r="G19" s="1">
        <v>32.549999999999997</v>
      </c>
      <c r="I19" s="4" t="s">
        <v>20</v>
      </c>
      <c r="J19" s="1">
        <v>4.4000000000000004</v>
      </c>
    </row>
    <row r="20" spans="3:10" x14ac:dyDescent="0.3">
      <c r="C20" s="4" t="s">
        <v>21</v>
      </c>
      <c r="D20">
        <v>14</v>
      </c>
      <c r="F20" s="4" t="s">
        <v>21</v>
      </c>
      <c r="G20" s="1">
        <v>35.642857142857146</v>
      </c>
      <c r="I20" s="4" t="s">
        <v>21</v>
      </c>
      <c r="J20" s="1">
        <v>5.833333333333333</v>
      </c>
    </row>
    <row r="21" spans="3:10" x14ac:dyDescent="0.3">
      <c r="C21" s="4" t="s">
        <v>22</v>
      </c>
      <c r="D21">
        <v>17</v>
      </c>
      <c r="F21" s="4" t="s">
        <v>22</v>
      </c>
      <c r="G21" s="1">
        <v>38.764705882352942</v>
      </c>
      <c r="I21" s="4" t="s">
        <v>22</v>
      </c>
      <c r="J21" s="1">
        <v>4.4444444444444446</v>
      </c>
    </row>
    <row r="22" spans="3:10" x14ac:dyDescent="0.3">
      <c r="C22" s="4" t="s">
        <v>23</v>
      </c>
      <c r="D22">
        <v>20</v>
      </c>
      <c r="F22" s="4" t="s">
        <v>23</v>
      </c>
      <c r="G22" s="1">
        <v>39.9</v>
      </c>
      <c r="I22" s="4" t="s">
        <v>23</v>
      </c>
      <c r="J22" s="1">
        <v>5.333333333333333</v>
      </c>
    </row>
    <row r="23" spans="3:10" x14ac:dyDescent="0.3">
      <c r="C23" s="4" t="s">
        <v>24</v>
      </c>
      <c r="D23">
        <v>10</v>
      </c>
      <c r="F23" s="4" t="s">
        <v>24</v>
      </c>
      <c r="G23" s="1">
        <v>41.6</v>
      </c>
      <c r="I23" s="4" t="s">
        <v>24</v>
      </c>
      <c r="J23" s="1">
        <v>5.333333333333333</v>
      </c>
    </row>
    <row r="24" spans="3:10" x14ac:dyDescent="0.3">
      <c r="C24" s="4" t="s">
        <v>25</v>
      </c>
      <c r="D24">
        <v>17</v>
      </c>
      <c r="F24" s="4" t="s">
        <v>25</v>
      </c>
      <c r="G24" s="1">
        <v>39.470588235294116</v>
      </c>
      <c r="I24" s="4" t="s">
        <v>25</v>
      </c>
      <c r="J24" s="1">
        <v>5.5714285714285712</v>
      </c>
    </row>
    <row r="25" spans="3:10" x14ac:dyDescent="0.3">
      <c r="C25" s="4" t="s">
        <v>26</v>
      </c>
      <c r="D25">
        <v>15</v>
      </c>
      <c r="F25" s="4" t="s">
        <v>26</v>
      </c>
      <c r="G25" s="1">
        <v>27.733333333333334</v>
      </c>
      <c r="I25" s="4" t="s">
        <v>26</v>
      </c>
      <c r="J25" s="1">
        <v>5</v>
      </c>
    </row>
    <row r="26" spans="3:10" x14ac:dyDescent="0.3">
      <c r="C26" s="4" t="s">
        <v>27</v>
      </c>
      <c r="D26">
        <v>16</v>
      </c>
      <c r="F26" s="4" t="s">
        <v>27</v>
      </c>
      <c r="G26" s="1">
        <v>36.875</v>
      </c>
      <c r="I26" s="4" t="s">
        <v>27</v>
      </c>
      <c r="J26" s="1">
        <v>6.4</v>
      </c>
    </row>
    <row r="27" spans="3:10" x14ac:dyDescent="0.3">
      <c r="C27" s="4" t="s">
        <v>28</v>
      </c>
      <c r="D27">
        <v>18</v>
      </c>
      <c r="F27" s="4" t="s">
        <v>28</v>
      </c>
      <c r="G27" s="1">
        <v>40.333333333333336</v>
      </c>
      <c r="I27" s="4" t="s">
        <v>28</v>
      </c>
      <c r="J27" s="1">
        <v>5.333333333333333</v>
      </c>
    </row>
    <row r="28" spans="3:10" x14ac:dyDescent="0.3">
      <c r="C28" s="4" t="s">
        <v>29</v>
      </c>
      <c r="D28">
        <v>16</v>
      </c>
      <c r="F28" s="4" t="s">
        <v>29</v>
      </c>
      <c r="G28" s="1">
        <v>36.5</v>
      </c>
      <c r="I28" s="4" t="s">
        <v>29</v>
      </c>
      <c r="J28" s="1">
        <v>3.75</v>
      </c>
    </row>
    <row r="29" spans="3:10" x14ac:dyDescent="0.3">
      <c r="C29" s="4" t="s">
        <v>30</v>
      </c>
      <c r="D29">
        <v>15</v>
      </c>
      <c r="F29" s="4" t="s">
        <v>30</v>
      </c>
      <c r="G29" s="1">
        <v>32.866666666666667</v>
      </c>
      <c r="I29" s="4" t="s">
        <v>30</v>
      </c>
      <c r="J29" s="1">
        <v>6.333333333333333</v>
      </c>
    </row>
    <row r="30" spans="3:10" x14ac:dyDescent="0.3">
      <c r="C30" s="4" t="s">
        <v>31</v>
      </c>
      <c r="D30">
        <v>14</v>
      </c>
      <c r="F30" s="4" t="s">
        <v>31</v>
      </c>
      <c r="G30" s="1">
        <v>36.642857142857146</v>
      </c>
      <c r="I30" s="4" t="s">
        <v>31</v>
      </c>
      <c r="J30" s="1">
        <v>10</v>
      </c>
    </row>
    <row r="31" spans="3:10" x14ac:dyDescent="0.3">
      <c r="C31" s="4" t="s">
        <v>32</v>
      </c>
      <c r="D31">
        <v>16</v>
      </c>
      <c r="F31" s="4" t="s">
        <v>32</v>
      </c>
      <c r="G31" s="1">
        <v>36.5625</v>
      </c>
      <c r="I31" s="4" t="s">
        <v>32</v>
      </c>
      <c r="J31" s="1">
        <v>5</v>
      </c>
    </row>
    <row r="32" spans="3:10" x14ac:dyDescent="0.3">
      <c r="C32" s="4" t="s">
        <v>33</v>
      </c>
      <c r="D32">
        <v>20</v>
      </c>
      <c r="F32" s="4" t="s">
        <v>33</v>
      </c>
      <c r="G32" s="1">
        <v>32.15</v>
      </c>
      <c r="I32" s="4" t="s">
        <v>33</v>
      </c>
      <c r="J32" s="1">
        <v>5.333333333333333</v>
      </c>
    </row>
    <row r="33" spans="3:10" x14ac:dyDescent="0.3">
      <c r="C33" s="4" t="s">
        <v>34</v>
      </c>
      <c r="D33">
        <v>19</v>
      </c>
      <c r="F33" s="4" t="s">
        <v>34</v>
      </c>
      <c r="G33" s="1">
        <v>38.368421052631582</v>
      </c>
      <c r="I33" s="4" t="s">
        <v>34</v>
      </c>
      <c r="J33" s="1">
        <v>4.8</v>
      </c>
    </row>
    <row r="34" spans="3:10" x14ac:dyDescent="0.3">
      <c r="C34" s="4" t="s">
        <v>35</v>
      </c>
      <c r="D34">
        <v>14</v>
      </c>
      <c r="F34" s="4" t="s">
        <v>35</v>
      </c>
      <c r="G34" s="1">
        <v>33.071428571428569</v>
      </c>
      <c r="I34" s="4" t="s">
        <v>35</v>
      </c>
      <c r="J34" s="1">
        <v>5</v>
      </c>
    </row>
    <row r="35" spans="3:10" x14ac:dyDescent="0.3">
      <c r="C35" s="4" t="s">
        <v>36</v>
      </c>
      <c r="D35">
        <v>18</v>
      </c>
      <c r="F35" s="4" t="s">
        <v>36</v>
      </c>
      <c r="G35" s="1">
        <v>36.444444444444443</v>
      </c>
      <c r="I35" s="4" t="s">
        <v>36</v>
      </c>
      <c r="J35" s="1">
        <v>1.4</v>
      </c>
    </row>
    <row r="36" spans="3:10" x14ac:dyDescent="0.3">
      <c r="C36" s="4" t="s">
        <v>37</v>
      </c>
      <c r="D36">
        <v>13</v>
      </c>
      <c r="F36" s="4" t="s">
        <v>37</v>
      </c>
      <c r="G36" s="1">
        <v>35.692307692307693</v>
      </c>
      <c r="I36" s="4" t="s">
        <v>37</v>
      </c>
      <c r="J36" s="1">
        <v>4.166666666666667</v>
      </c>
    </row>
    <row r="37" spans="3:10" x14ac:dyDescent="0.3">
      <c r="C37" s="4" t="s">
        <v>38</v>
      </c>
      <c r="D37">
        <v>10</v>
      </c>
      <c r="F37" s="4" t="s">
        <v>38</v>
      </c>
      <c r="G37" s="1">
        <v>45.4</v>
      </c>
      <c r="I37" s="4" t="s">
        <v>38</v>
      </c>
      <c r="J37" s="1">
        <v>5.75</v>
      </c>
    </row>
    <row r="38" spans="3:10" x14ac:dyDescent="0.3">
      <c r="C38" s="4" t="s">
        <v>39</v>
      </c>
      <c r="D38">
        <v>8</v>
      </c>
      <c r="F38" s="4" t="s">
        <v>39</v>
      </c>
      <c r="G38" s="1">
        <v>29.375</v>
      </c>
      <c r="I38" s="4" t="s">
        <v>39</v>
      </c>
      <c r="J38" s="1">
        <v>4.75</v>
      </c>
    </row>
    <row r="39" spans="3:10" x14ac:dyDescent="0.3">
      <c r="C39" s="4" t="s">
        <v>40</v>
      </c>
      <c r="D39">
        <v>12</v>
      </c>
      <c r="F39" s="4" t="s">
        <v>40</v>
      </c>
      <c r="G39" s="1">
        <v>34.583333333333336</v>
      </c>
      <c r="I39" s="4" t="s">
        <v>40</v>
      </c>
      <c r="J39" s="1">
        <v>7</v>
      </c>
    </row>
    <row r="40" spans="3:10" x14ac:dyDescent="0.3">
      <c r="C40" s="4" t="s">
        <v>41</v>
      </c>
      <c r="D40">
        <v>19</v>
      </c>
      <c r="F40" s="4" t="s">
        <v>41</v>
      </c>
      <c r="G40" s="1">
        <v>38.684210526315788</v>
      </c>
      <c r="I40" s="4" t="s">
        <v>41</v>
      </c>
      <c r="J40" s="1">
        <v>3.1428571428571428</v>
      </c>
    </row>
    <row r="41" spans="3:10" x14ac:dyDescent="0.3">
      <c r="C41" s="4" t="s">
        <v>42</v>
      </c>
      <c r="D41">
        <v>9</v>
      </c>
      <c r="F41" s="4" t="s">
        <v>42</v>
      </c>
      <c r="G41" s="1">
        <v>34.777777777777779</v>
      </c>
      <c r="I41" s="4" t="s">
        <v>42</v>
      </c>
      <c r="J41" s="1">
        <v>8</v>
      </c>
    </row>
    <row r="42" spans="3:10" x14ac:dyDescent="0.3">
      <c r="C42" s="4" t="s">
        <v>43</v>
      </c>
      <c r="D42">
        <v>13</v>
      </c>
      <c r="F42" s="4" t="s">
        <v>43</v>
      </c>
      <c r="G42" s="1">
        <v>37.307692307692307</v>
      </c>
      <c r="I42" s="4" t="s">
        <v>43</v>
      </c>
      <c r="J42" s="1">
        <v>5.25</v>
      </c>
    </row>
    <row r="43" spans="3:10" x14ac:dyDescent="0.3">
      <c r="C43" s="4" t="s">
        <v>44</v>
      </c>
      <c r="D43">
        <v>19</v>
      </c>
      <c r="F43" s="4" t="s">
        <v>44</v>
      </c>
      <c r="G43" s="1">
        <v>35.631578947368418</v>
      </c>
      <c r="I43" s="4" t="s">
        <v>44</v>
      </c>
      <c r="J43" s="1">
        <v>4.5714285714285712</v>
      </c>
    </row>
    <row r="44" spans="3:10" x14ac:dyDescent="0.3">
      <c r="C44" s="4" t="s">
        <v>45</v>
      </c>
      <c r="D44">
        <v>10</v>
      </c>
      <c r="F44" s="4" t="s">
        <v>45</v>
      </c>
      <c r="G44" s="1">
        <v>36.6</v>
      </c>
      <c r="I44" s="4" t="s">
        <v>45</v>
      </c>
      <c r="J44" s="1">
        <v>2.75</v>
      </c>
    </row>
    <row r="45" spans="3:10" x14ac:dyDescent="0.3">
      <c r="C45" s="4" t="s">
        <v>46</v>
      </c>
      <c r="D45">
        <v>20</v>
      </c>
      <c r="F45" s="4" t="s">
        <v>46</v>
      </c>
      <c r="G45" s="1">
        <v>39.700000000000003</v>
      </c>
      <c r="I45" s="4" t="s">
        <v>46</v>
      </c>
      <c r="J45" s="1">
        <v>4.5</v>
      </c>
    </row>
    <row r="46" spans="3:10" x14ac:dyDescent="0.3">
      <c r="C46" s="4" t="s">
        <v>47</v>
      </c>
      <c r="D46">
        <v>15</v>
      </c>
      <c r="F46" s="4" t="s">
        <v>47</v>
      </c>
      <c r="G46" s="1">
        <v>37.4</v>
      </c>
      <c r="I46" s="4" t="s">
        <v>47</v>
      </c>
      <c r="J46" s="1">
        <v>5.5</v>
      </c>
    </row>
    <row r="47" spans="3:10" x14ac:dyDescent="0.3">
      <c r="C47" s="4" t="s">
        <v>48</v>
      </c>
      <c r="D47">
        <v>13</v>
      </c>
      <c r="F47" s="4" t="s">
        <v>48</v>
      </c>
      <c r="G47" s="1">
        <v>27.76923076923077</v>
      </c>
      <c r="I47" s="4" t="s">
        <v>48</v>
      </c>
      <c r="J47" s="1">
        <v>5.6</v>
      </c>
    </row>
    <row r="48" spans="3:10" x14ac:dyDescent="0.3">
      <c r="C48" s="4" t="s">
        <v>49</v>
      </c>
      <c r="D48">
        <v>9</v>
      </c>
      <c r="F48" s="4" t="s">
        <v>49</v>
      </c>
      <c r="G48" s="1">
        <v>38.777777777777779</v>
      </c>
      <c r="I48" s="4" t="s">
        <v>49</v>
      </c>
      <c r="J48" s="1">
        <v>5.75</v>
      </c>
    </row>
    <row r="49" spans="3:10" x14ac:dyDescent="0.3">
      <c r="C49" s="4" t="s">
        <v>50</v>
      </c>
      <c r="D49">
        <v>19</v>
      </c>
      <c r="F49" s="4" t="s">
        <v>50</v>
      </c>
      <c r="G49" s="1">
        <v>31</v>
      </c>
      <c r="I49" s="4" t="s">
        <v>50</v>
      </c>
      <c r="J49" s="1">
        <v>3.4444444444444446</v>
      </c>
    </row>
    <row r="50" spans="3:10" x14ac:dyDescent="0.3">
      <c r="C50" s="4" t="s">
        <v>51</v>
      </c>
      <c r="D50">
        <v>14</v>
      </c>
      <c r="F50" s="4" t="s">
        <v>51</v>
      </c>
      <c r="G50" s="1">
        <v>35.928571428571431</v>
      </c>
      <c r="I50" s="4" t="s">
        <v>51</v>
      </c>
      <c r="J50" s="1">
        <v>1.5</v>
      </c>
    </row>
    <row r="51" spans="3:10" x14ac:dyDescent="0.3">
      <c r="C51" s="4" t="s">
        <v>52</v>
      </c>
      <c r="D51">
        <v>17</v>
      </c>
      <c r="F51" s="4" t="s">
        <v>52</v>
      </c>
      <c r="G51" s="1">
        <v>37.882352941176471</v>
      </c>
      <c r="I51" s="4" t="s">
        <v>52</v>
      </c>
      <c r="J51" s="1">
        <v>3.6666666666666665</v>
      </c>
    </row>
    <row r="52" spans="3:10" x14ac:dyDescent="0.3">
      <c r="C52" s="4" t="s">
        <v>53</v>
      </c>
      <c r="D52">
        <v>17</v>
      </c>
      <c r="F52" s="4" t="s">
        <v>53</v>
      </c>
      <c r="G52" s="1">
        <v>40.588235294117645</v>
      </c>
      <c r="I52" s="4" t="s">
        <v>53</v>
      </c>
      <c r="J52" s="1">
        <v>4.4285714285714288</v>
      </c>
    </row>
    <row r="53" spans="3:10" x14ac:dyDescent="0.3">
      <c r="C53" s="4" t="s">
        <v>54</v>
      </c>
      <c r="D53">
        <v>15</v>
      </c>
      <c r="F53" s="4" t="s">
        <v>54</v>
      </c>
      <c r="G53" s="1">
        <v>34.533333333333331</v>
      </c>
      <c r="I53" s="4" t="s">
        <v>54</v>
      </c>
      <c r="J53" s="1">
        <v>6</v>
      </c>
    </row>
    <row r="54" spans="3:10" x14ac:dyDescent="0.3">
      <c r="C54" s="4" t="s">
        <v>55</v>
      </c>
      <c r="D54">
        <v>9</v>
      </c>
      <c r="F54" s="4" t="s">
        <v>55</v>
      </c>
      <c r="G54" s="1">
        <v>40.333333333333336</v>
      </c>
      <c r="I54" s="4" t="s">
        <v>55</v>
      </c>
      <c r="J54" s="1">
        <v>2.6666666666666665</v>
      </c>
    </row>
    <row r="55" spans="3:10" x14ac:dyDescent="0.3">
      <c r="C55" s="4" t="s">
        <v>56</v>
      </c>
      <c r="D55">
        <v>14</v>
      </c>
      <c r="F55" s="4" t="s">
        <v>56</v>
      </c>
      <c r="G55" s="1">
        <v>35.285714285714285</v>
      </c>
      <c r="I55" s="4" t="s">
        <v>56</v>
      </c>
      <c r="J55" s="1">
        <v>7.5</v>
      </c>
    </row>
    <row r="56" spans="3:10" x14ac:dyDescent="0.3">
      <c r="C56" s="4" t="s">
        <v>57</v>
      </c>
      <c r="D56">
        <v>22</v>
      </c>
      <c r="F56" s="4" t="s">
        <v>57</v>
      </c>
      <c r="G56" s="1">
        <v>35.5</v>
      </c>
      <c r="I56" s="4" t="s">
        <v>57</v>
      </c>
      <c r="J56" s="1">
        <v>4.5</v>
      </c>
    </row>
    <row r="57" spans="3:10" x14ac:dyDescent="0.3">
      <c r="C57" s="4" t="s">
        <v>58</v>
      </c>
      <c r="D57">
        <v>16</v>
      </c>
      <c r="F57" s="4" t="s">
        <v>58</v>
      </c>
      <c r="G57" s="1">
        <v>38.5625</v>
      </c>
      <c r="I57" s="4" t="s">
        <v>58</v>
      </c>
      <c r="J57" s="1">
        <v>8</v>
      </c>
    </row>
    <row r="58" spans="3:10" x14ac:dyDescent="0.3">
      <c r="C58" s="4" t="s">
        <v>59</v>
      </c>
      <c r="D58">
        <v>22</v>
      </c>
      <c r="F58" s="4" t="s">
        <v>59</v>
      </c>
      <c r="G58" s="1">
        <v>42.727272727272727</v>
      </c>
      <c r="I58" s="4" t="s">
        <v>59</v>
      </c>
      <c r="J58" s="1">
        <v>4.3636363636363633</v>
      </c>
    </row>
    <row r="59" spans="3:10" x14ac:dyDescent="0.3">
      <c r="C59" s="4" t="s">
        <v>60</v>
      </c>
      <c r="D59">
        <v>12</v>
      </c>
      <c r="F59" s="4" t="s">
        <v>60</v>
      </c>
      <c r="G59" s="1">
        <v>37.416666666666664</v>
      </c>
      <c r="I59" s="4" t="s">
        <v>60</v>
      </c>
      <c r="J59" s="1">
        <v>0</v>
      </c>
    </row>
    <row r="60" spans="3:10" x14ac:dyDescent="0.3">
      <c r="C60" s="4" t="s">
        <v>61</v>
      </c>
      <c r="D60">
        <v>20</v>
      </c>
      <c r="F60" s="4" t="s">
        <v>61</v>
      </c>
      <c r="G60" s="1">
        <v>32.450000000000003</v>
      </c>
      <c r="I60" s="4" t="s">
        <v>61</v>
      </c>
      <c r="J60" s="1">
        <v>10</v>
      </c>
    </row>
    <row r="61" spans="3:10" x14ac:dyDescent="0.3">
      <c r="C61" s="4" t="s">
        <v>62</v>
      </c>
      <c r="D61">
        <v>18</v>
      </c>
      <c r="F61" s="4" t="s">
        <v>62</v>
      </c>
      <c r="G61" s="1">
        <v>40.055555555555557</v>
      </c>
      <c r="I61" s="4" t="s">
        <v>63</v>
      </c>
      <c r="J61" s="1">
        <v>6.75</v>
      </c>
    </row>
    <row r="62" spans="3:10" x14ac:dyDescent="0.3">
      <c r="C62" s="4" t="s">
        <v>63</v>
      </c>
      <c r="D62">
        <v>18</v>
      </c>
      <c r="F62" s="4" t="s">
        <v>63</v>
      </c>
      <c r="G62" s="1">
        <v>31.666666666666668</v>
      </c>
      <c r="I62" s="4" t="s">
        <v>64</v>
      </c>
      <c r="J62" s="1">
        <v>7</v>
      </c>
    </row>
    <row r="63" spans="3:10" x14ac:dyDescent="0.3">
      <c r="C63" s="4" t="s">
        <v>64</v>
      </c>
      <c r="D63">
        <v>13</v>
      </c>
      <c r="F63" s="4" t="s">
        <v>64</v>
      </c>
      <c r="G63" s="1">
        <v>39.769230769230766</v>
      </c>
      <c r="I63" s="4" t="s">
        <v>65</v>
      </c>
      <c r="J63" s="1">
        <v>3.3333333333333335</v>
      </c>
    </row>
    <row r="64" spans="3:10" x14ac:dyDescent="0.3">
      <c r="C64" s="4" t="s">
        <v>65</v>
      </c>
      <c r="D64">
        <v>15</v>
      </c>
      <c r="F64" s="4" t="s">
        <v>65</v>
      </c>
      <c r="G64" s="1">
        <v>36.733333333333334</v>
      </c>
      <c r="I64" s="4" t="s">
        <v>66</v>
      </c>
      <c r="J64" s="1">
        <v>7.2</v>
      </c>
    </row>
    <row r="65" spans="3:10" x14ac:dyDescent="0.3">
      <c r="C65" s="4" t="s">
        <v>66</v>
      </c>
      <c r="D65">
        <v>19</v>
      </c>
      <c r="F65" s="4" t="s">
        <v>66</v>
      </c>
      <c r="G65" s="1">
        <v>34.526315789473685</v>
      </c>
      <c r="I65" s="4" t="s">
        <v>67</v>
      </c>
      <c r="J65" s="1">
        <v>6</v>
      </c>
    </row>
    <row r="66" spans="3:10" x14ac:dyDescent="0.3">
      <c r="C66" s="4" t="s">
        <v>67</v>
      </c>
      <c r="D66">
        <v>24</v>
      </c>
      <c r="F66" s="4" t="s">
        <v>67</v>
      </c>
      <c r="G66" s="1">
        <v>33.708333333333336</v>
      </c>
      <c r="I66" s="4" t="s">
        <v>68</v>
      </c>
      <c r="J66" s="1">
        <v>1.5</v>
      </c>
    </row>
    <row r="67" spans="3:10" x14ac:dyDescent="0.3">
      <c r="C67" s="4" t="s">
        <v>68</v>
      </c>
      <c r="D67">
        <v>24</v>
      </c>
      <c r="F67" s="4" t="s">
        <v>68</v>
      </c>
      <c r="G67" s="1">
        <v>36.291666666666664</v>
      </c>
      <c r="I67" s="4" t="s">
        <v>69</v>
      </c>
      <c r="J67" s="1">
        <v>2.75</v>
      </c>
    </row>
    <row r="68" spans="3:10" x14ac:dyDescent="0.3">
      <c r="C68" s="4" t="s">
        <v>69</v>
      </c>
      <c r="D68">
        <v>14</v>
      </c>
      <c r="F68" s="4" t="s">
        <v>69</v>
      </c>
      <c r="G68" s="1">
        <v>35.071428571428569</v>
      </c>
      <c r="I68" s="4" t="s">
        <v>70</v>
      </c>
      <c r="J68" s="1">
        <v>5</v>
      </c>
    </row>
    <row r="69" spans="3:10" x14ac:dyDescent="0.3">
      <c r="C69" s="4" t="s">
        <v>70</v>
      </c>
      <c r="D69">
        <v>14</v>
      </c>
      <c r="F69" s="4" t="s">
        <v>70</v>
      </c>
      <c r="G69" s="1">
        <v>31.571428571428573</v>
      </c>
      <c r="I69" s="4" t="s">
        <v>71</v>
      </c>
      <c r="J69" s="1">
        <v>5.5</v>
      </c>
    </row>
    <row r="70" spans="3:10" x14ac:dyDescent="0.3">
      <c r="C70" s="4" t="s">
        <v>71</v>
      </c>
      <c r="D70">
        <v>16</v>
      </c>
      <c r="F70" s="4" t="s">
        <v>71</v>
      </c>
      <c r="G70" s="1">
        <v>31.8125</v>
      </c>
      <c r="I70" s="4" t="s">
        <v>72</v>
      </c>
      <c r="J70" s="1">
        <v>5.0909090909090908</v>
      </c>
    </row>
    <row r="71" spans="3:10" x14ac:dyDescent="0.3">
      <c r="C71" s="4" t="s">
        <v>72</v>
      </c>
      <c r="D71">
        <v>26</v>
      </c>
      <c r="F71" s="4" t="s">
        <v>72</v>
      </c>
      <c r="G71" s="1">
        <v>36.846153846153847</v>
      </c>
      <c r="I71" s="4" t="s">
        <v>73</v>
      </c>
      <c r="J71" s="1">
        <v>7.666666666666667</v>
      </c>
    </row>
    <row r="72" spans="3:10" x14ac:dyDescent="0.3">
      <c r="C72" s="4" t="s">
        <v>73</v>
      </c>
      <c r="D72">
        <v>14</v>
      </c>
      <c r="F72" s="4" t="s">
        <v>73</v>
      </c>
      <c r="G72" s="1">
        <v>34.071428571428569</v>
      </c>
      <c r="I72" s="4" t="s">
        <v>74</v>
      </c>
      <c r="J72" s="1">
        <v>3.5</v>
      </c>
    </row>
    <row r="73" spans="3:10" x14ac:dyDescent="0.3">
      <c r="C73" s="4" t="s">
        <v>74</v>
      </c>
      <c r="D73">
        <v>22</v>
      </c>
      <c r="F73" s="4" t="s">
        <v>74</v>
      </c>
      <c r="G73" s="1">
        <v>33</v>
      </c>
      <c r="I73" s="4" t="s">
        <v>75</v>
      </c>
      <c r="J73" s="1">
        <v>3.6666666666666665</v>
      </c>
    </row>
    <row r="74" spans="3:10" x14ac:dyDescent="0.3">
      <c r="C74" s="4" t="s">
        <v>75</v>
      </c>
      <c r="D74">
        <v>18</v>
      </c>
      <c r="F74" s="4" t="s">
        <v>75</v>
      </c>
      <c r="G74" s="1">
        <v>40.222222222222221</v>
      </c>
      <c r="I74" s="4" t="s">
        <v>76</v>
      </c>
      <c r="J74" s="1">
        <v>3.8</v>
      </c>
    </row>
    <row r="75" spans="3:10" x14ac:dyDescent="0.3">
      <c r="C75" s="4" t="s">
        <v>76</v>
      </c>
      <c r="D75">
        <v>20</v>
      </c>
      <c r="F75" s="4" t="s">
        <v>76</v>
      </c>
      <c r="G75" s="1">
        <v>42.05</v>
      </c>
      <c r="I75" s="4" t="s">
        <v>77</v>
      </c>
      <c r="J75" s="1">
        <v>1</v>
      </c>
    </row>
    <row r="76" spans="3:10" x14ac:dyDescent="0.3">
      <c r="C76" s="4" t="s">
        <v>77</v>
      </c>
      <c r="D76">
        <v>13</v>
      </c>
      <c r="F76" s="4" t="s">
        <v>77</v>
      </c>
      <c r="G76" s="1">
        <v>42.615384615384613</v>
      </c>
      <c r="I76" s="4" t="s">
        <v>78</v>
      </c>
      <c r="J76" s="1">
        <v>7</v>
      </c>
    </row>
    <row r="77" spans="3:10" x14ac:dyDescent="0.3">
      <c r="C77" s="4" t="s">
        <v>78</v>
      </c>
      <c r="D77">
        <v>13</v>
      </c>
      <c r="F77" s="4" t="s">
        <v>78</v>
      </c>
      <c r="G77" s="1">
        <v>40.46153846153846</v>
      </c>
      <c r="I77" s="4" t="s">
        <v>79</v>
      </c>
      <c r="J77" s="1">
        <v>5</v>
      </c>
    </row>
    <row r="78" spans="3:10" x14ac:dyDescent="0.3">
      <c r="C78" s="4" t="s">
        <v>79</v>
      </c>
      <c r="D78">
        <v>14</v>
      </c>
      <c r="F78" s="4" t="s">
        <v>79</v>
      </c>
      <c r="G78" s="1">
        <v>34.071428571428569</v>
      </c>
      <c r="I78" s="4" t="s">
        <v>80</v>
      </c>
      <c r="J78" s="1">
        <v>4.25</v>
      </c>
    </row>
    <row r="79" spans="3:10" x14ac:dyDescent="0.3">
      <c r="C79" s="4" t="s">
        <v>80</v>
      </c>
      <c r="D79">
        <v>13</v>
      </c>
      <c r="F79" s="4" t="s">
        <v>80</v>
      </c>
      <c r="G79" s="1">
        <v>33.92307692307692</v>
      </c>
      <c r="I79" s="4" t="s">
        <v>81</v>
      </c>
      <c r="J79" s="1">
        <v>4</v>
      </c>
    </row>
    <row r="80" spans="3:10" x14ac:dyDescent="0.3">
      <c r="C80" s="4" t="s">
        <v>81</v>
      </c>
      <c r="D80">
        <v>18</v>
      </c>
      <c r="F80" s="4" t="s">
        <v>81</v>
      </c>
      <c r="G80" s="1">
        <v>43.166666666666664</v>
      </c>
      <c r="I80" s="4" t="s">
        <v>82</v>
      </c>
      <c r="J80" s="1">
        <v>7.333333333333333</v>
      </c>
    </row>
    <row r="81" spans="3:10" x14ac:dyDescent="0.3">
      <c r="C81" s="4" t="s">
        <v>82</v>
      </c>
      <c r="D81">
        <v>12</v>
      </c>
      <c r="F81" s="4" t="s">
        <v>82</v>
      </c>
      <c r="G81" s="1">
        <v>42.25</v>
      </c>
      <c r="I81" s="4" t="s">
        <v>83</v>
      </c>
      <c r="J81" s="1">
        <v>9</v>
      </c>
    </row>
    <row r="82" spans="3:10" x14ac:dyDescent="0.3">
      <c r="C82" s="4" t="s">
        <v>83</v>
      </c>
      <c r="D82">
        <v>11</v>
      </c>
      <c r="F82" s="4" t="s">
        <v>83</v>
      </c>
      <c r="G82" s="1">
        <v>44.090909090909093</v>
      </c>
      <c r="I82" s="4" t="s">
        <v>84</v>
      </c>
      <c r="J82" s="1">
        <v>5.25</v>
      </c>
    </row>
    <row r="83" spans="3:10" x14ac:dyDescent="0.3">
      <c r="C83" s="4" t="s">
        <v>84</v>
      </c>
      <c r="D83">
        <v>14</v>
      </c>
      <c r="F83" s="4" t="s">
        <v>84</v>
      </c>
      <c r="G83" s="1">
        <v>39</v>
      </c>
      <c r="I83" s="4" t="s">
        <v>85</v>
      </c>
      <c r="J83" s="1">
        <v>6.6</v>
      </c>
    </row>
    <row r="84" spans="3:10" x14ac:dyDescent="0.3">
      <c r="C84" s="4" t="s">
        <v>85</v>
      </c>
      <c r="D84">
        <v>12</v>
      </c>
      <c r="F84" s="4" t="s">
        <v>85</v>
      </c>
      <c r="G84" s="1">
        <v>31.25</v>
      </c>
      <c r="I84" s="4" t="s">
        <v>86</v>
      </c>
      <c r="J84" s="1">
        <v>6.25</v>
      </c>
    </row>
    <row r="85" spans="3:10" x14ac:dyDescent="0.3">
      <c r="C85" s="4" t="s">
        <v>86</v>
      </c>
      <c r="D85">
        <v>16</v>
      </c>
      <c r="F85" s="4" t="s">
        <v>86</v>
      </c>
      <c r="G85" s="1">
        <v>28.5</v>
      </c>
      <c r="I85" s="4" t="s">
        <v>87</v>
      </c>
      <c r="J85" s="1">
        <v>6.333333333333333</v>
      </c>
    </row>
    <row r="86" spans="3:10" x14ac:dyDescent="0.3">
      <c r="C86" s="4" t="s">
        <v>87</v>
      </c>
      <c r="D86">
        <v>16</v>
      </c>
      <c r="F86" s="4" t="s">
        <v>87</v>
      </c>
      <c r="G86" s="1">
        <v>34.0625</v>
      </c>
      <c r="I86" s="4" t="s">
        <v>88</v>
      </c>
      <c r="J86" s="1">
        <v>7</v>
      </c>
    </row>
    <row r="87" spans="3:10" x14ac:dyDescent="0.3">
      <c r="C87" s="4" t="s">
        <v>88</v>
      </c>
      <c r="D87">
        <v>15</v>
      </c>
      <c r="F87" s="4" t="s">
        <v>88</v>
      </c>
      <c r="G87" s="1">
        <v>25.2</v>
      </c>
      <c r="I87" s="4" t="s">
        <v>89</v>
      </c>
      <c r="J87" s="1">
        <v>5.666666666666667</v>
      </c>
    </row>
    <row r="88" spans="3:10" x14ac:dyDescent="0.3">
      <c r="C88" s="4" t="s">
        <v>89</v>
      </c>
      <c r="D88">
        <v>22</v>
      </c>
      <c r="F88" s="4" t="s">
        <v>89</v>
      </c>
      <c r="G88" s="1">
        <v>35.863636363636367</v>
      </c>
      <c r="I88" s="4" t="s">
        <v>90</v>
      </c>
      <c r="J88" s="1">
        <v>3.3333333333333335</v>
      </c>
    </row>
    <row r="89" spans="3:10" x14ac:dyDescent="0.3">
      <c r="C89" s="4" t="s">
        <v>90</v>
      </c>
      <c r="D89">
        <v>18</v>
      </c>
      <c r="F89" s="4" t="s">
        <v>90</v>
      </c>
      <c r="G89" s="1">
        <v>39.833333333333336</v>
      </c>
      <c r="I89" s="4" t="s">
        <v>91</v>
      </c>
      <c r="J89" s="1">
        <v>4.75</v>
      </c>
    </row>
    <row r="90" spans="3:10" x14ac:dyDescent="0.3">
      <c r="C90" s="4" t="s">
        <v>91</v>
      </c>
      <c r="D90">
        <v>10</v>
      </c>
      <c r="F90" s="4" t="s">
        <v>91</v>
      </c>
      <c r="G90" s="1">
        <v>37</v>
      </c>
      <c r="I90" s="4" t="s">
        <v>92</v>
      </c>
      <c r="J90" s="1">
        <v>2</v>
      </c>
    </row>
    <row r="91" spans="3:10" x14ac:dyDescent="0.3">
      <c r="C91" s="4" t="s">
        <v>92</v>
      </c>
      <c r="D91">
        <v>17</v>
      </c>
      <c r="F91" s="4" t="s">
        <v>92</v>
      </c>
      <c r="G91" s="1">
        <v>39.411764705882355</v>
      </c>
      <c r="I91" s="4" t="s">
        <v>93</v>
      </c>
      <c r="J91" s="1">
        <v>9.25</v>
      </c>
    </row>
    <row r="92" spans="3:10" x14ac:dyDescent="0.3">
      <c r="C92" s="4" t="s">
        <v>93</v>
      </c>
      <c r="D92">
        <v>17</v>
      </c>
      <c r="F92" s="4" t="s">
        <v>93</v>
      </c>
      <c r="G92" s="1">
        <v>30.294117647058822</v>
      </c>
      <c r="I92" s="4" t="s">
        <v>94</v>
      </c>
      <c r="J92" s="1">
        <v>2.6666666666666665</v>
      </c>
    </row>
    <row r="93" spans="3:10" x14ac:dyDescent="0.3">
      <c r="C93" s="4" t="s">
        <v>94</v>
      </c>
      <c r="D93">
        <v>12</v>
      </c>
      <c r="F93" s="4" t="s">
        <v>94</v>
      </c>
      <c r="G93" s="1">
        <v>32.666666666666664</v>
      </c>
      <c r="I93" s="4" t="s">
        <v>95</v>
      </c>
      <c r="J93" s="1">
        <v>4</v>
      </c>
    </row>
    <row r="94" spans="3:10" x14ac:dyDescent="0.3">
      <c r="C94" s="4" t="s">
        <v>95</v>
      </c>
      <c r="D94">
        <v>14</v>
      </c>
      <c r="F94" s="4" t="s">
        <v>95</v>
      </c>
      <c r="G94" s="1">
        <v>30.571428571428573</v>
      </c>
      <c r="I94" s="4" t="s">
        <v>96</v>
      </c>
      <c r="J94" s="1">
        <v>8.75</v>
      </c>
    </row>
    <row r="95" spans="3:10" x14ac:dyDescent="0.3">
      <c r="C95" s="4" t="s">
        <v>96</v>
      </c>
      <c r="D95">
        <v>18</v>
      </c>
      <c r="F95" s="4" t="s">
        <v>96</v>
      </c>
      <c r="G95" s="1">
        <v>39.055555555555557</v>
      </c>
      <c r="I95" s="4" t="s">
        <v>97</v>
      </c>
      <c r="J95" s="1">
        <v>3.8</v>
      </c>
    </row>
    <row r="96" spans="3:10" x14ac:dyDescent="0.3">
      <c r="C96" s="4" t="s">
        <v>97</v>
      </c>
      <c r="D96">
        <v>31</v>
      </c>
      <c r="F96" s="4" t="s">
        <v>97</v>
      </c>
      <c r="G96" s="1">
        <v>37.12903225806452</v>
      </c>
      <c r="I96" s="4" t="s">
        <v>98</v>
      </c>
      <c r="J96" s="1">
        <v>6</v>
      </c>
    </row>
    <row r="97" spans="3:10" x14ac:dyDescent="0.3">
      <c r="C97" s="4" t="s">
        <v>98</v>
      </c>
      <c r="D97">
        <v>32</v>
      </c>
      <c r="F97" s="4" t="s">
        <v>98</v>
      </c>
      <c r="G97" s="1">
        <v>35.34375</v>
      </c>
      <c r="I97" s="4" t="s">
        <v>99</v>
      </c>
      <c r="J97" s="1">
        <v>4.5999999999999996</v>
      </c>
    </row>
    <row r="98" spans="3:10" x14ac:dyDescent="0.3">
      <c r="C98" s="4" t="s">
        <v>99</v>
      </c>
      <c r="D98">
        <v>31</v>
      </c>
      <c r="F98" s="4" t="s">
        <v>99</v>
      </c>
      <c r="G98" s="1">
        <v>33.064516129032256</v>
      </c>
      <c r="I98" s="4" t="s">
        <v>100</v>
      </c>
      <c r="J98" s="1">
        <v>5.7142857142857144</v>
      </c>
    </row>
    <row r="99" spans="3:10" x14ac:dyDescent="0.3">
      <c r="C99" s="4" t="s">
        <v>100</v>
      </c>
      <c r="D99">
        <v>29</v>
      </c>
      <c r="F99" s="4" t="s">
        <v>100</v>
      </c>
      <c r="G99" s="1">
        <v>33.482758620689658</v>
      </c>
      <c r="I99" s="4" t="s">
        <v>101</v>
      </c>
      <c r="J99" s="1">
        <v>4.666666666666667</v>
      </c>
    </row>
    <row r="100" spans="3:10" x14ac:dyDescent="0.3">
      <c r="C100" s="4" t="s">
        <v>101</v>
      </c>
      <c r="D100">
        <v>34</v>
      </c>
      <c r="F100" s="4" t="s">
        <v>101</v>
      </c>
      <c r="G100" s="1">
        <v>34</v>
      </c>
      <c r="I100" s="4" t="s">
        <v>102</v>
      </c>
      <c r="J100" s="1">
        <v>3.4</v>
      </c>
    </row>
    <row r="101" spans="3:10" x14ac:dyDescent="0.3">
      <c r="C101" s="4" t="s">
        <v>102</v>
      </c>
      <c r="D101">
        <v>31</v>
      </c>
      <c r="F101" s="4" t="s">
        <v>102</v>
      </c>
      <c r="G101" s="1">
        <v>34.354838709677416</v>
      </c>
      <c r="I101" s="4" t="s">
        <v>103</v>
      </c>
      <c r="J101" s="1">
        <v>5</v>
      </c>
    </row>
    <row r="102" spans="3:10" x14ac:dyDescent="0.3">
      <c r="C102" s="4" t="s">
        <v>103</v>
      </c>
      <c r="D102">
        <v>27</v>
      </c>
      <c r="F102" s="4" t="s">
        <v>103</v>
      </c>
      <c r="G102" s="1">
        <v>32.666666666666664</v>
      </c>
      <c r="I102" s="4" t="s">
        <v>104</v>
      </c>
      <c r="J102" s="1">
        <v>5.8571428571428568</v>
      </c>
    </row>
    <row r="103" spans="3:10" x14ac:dyDescent="0.3">
      <c r="C103" s="4" t="s">
        <v>104</v>
      </c>
      <c r="D103">
        <v>32</v>
      </c>
      <c r="F103" s="4" t="s">
        <v>104</v>
      </c>
      <c r="G103" s="1">
        <v>30.3125</v>
      </c>
      <c r="I103" s="4" t="s">
        <v>105</v>
      </c>
      <c r="J103" s="1">
        <v>4.8888888888888893</v>
      </c>
    </row>
    <row r="104" spans="3:10" x14ac:dyDescent="0.3">
      <c r="C104" s="4" t="s">
        <v>105</v>
      </c>
      <c r="D104">
        <v>27</v>
      </c>
      <c r="F104" s="4" t="s">
        <v>105</v>
      </c>
      <c r="G104" s="1">
        <v>33.925925925925924</v>
      </c>
      <c r="I104" s="4" t="s">
        <v>106</v>
      </c>
      <c r="J104" s="1">
        <v>6</v>
      </c>
    </row>
    <row r="105" spans="3:10" x14ac:dyDescent="0.3">
      <c r="C105" s="4" t="s">
        <v>106</v>
      </c>
      <c r="D105">
        <v>27</v>
      </c>
      <c r="F105" s="4" t="s">
        <v>106</v>
      </c>
      <c r="G105" s="1">
        <v>32.037037037037038</v>
      </c>
      <c r="I105" s="4" t="s">
        <v>107</v>
      </c>
      <c r="J105" s="1">
        <v>4.7142857142857144</v>
      </c>
    </row>
    <row r="106" spans="3:10" x14ac:dyDescent="0.3">
      <c r="C106" s="4" t="s">
        <v>107</v>
      </c>
      <c r="D106">
        <v>33</v>
      </c>
      <c r="F106" s="4" t="s">
        <v>107</v>
      </c>
      <c r="G106" s="1">
        <v>38.606060606060609</v>
      </c>
      <c r="I106" s="4" t="s">
        <v>108</v>
      </c>
      <c r="J106" s="1">
        <v>7.1428571428571432</v>
      </c>
    </row>
    <row r="107" spans="3:10" x14ac:dyDescent="0.3">
      <c r="C107" s="4" t="s">
        <v>108</v>
      </c>
      <c r="D107">
        <v>42</v>
      </c>
      <c r="F107" s="4" t="s">
        <v>108</v>
      </c>
      <c r="G107" s="1">
        <v>36.761904761904759</v>
      </c>
      <c r="I107" s="4" t="s">
        <v>109</v>
      </c>
      <c r="J107" s="1">
        <v>4.333333333333333</v>
      </c>
    </row>
    <row r="108" spans="3:10" x14ac:dyDescent="0.3">
      <c r="C108" s="4" t="s">
        <v>109</v>
      </c>
      <c r="D108">
        <v>25</v>
      </c>
      <c r="F108" s="4" t="s">
        <v>109</v>
      </c>
      <c r="G108" s="1">
        <v>28.52</v>
      </c>
      <c r="I108" s="4" t="s">
        <v>110</v>
      </c>
      <c r="J108" s="1">
        <v>6.7333333333333334</v>
      </c>
    </row>
    <row r="109" spans="3:10" x14ac:dyDescent="0.3">
      <c r="C109" s="4" t="s">
        <v>110</v>
      </c>
      <c r="D109">
        <v>34</v>
      </c>
      <c r="F109" s="4" t="s">
        <v>110</v>
      </c>
      <c r="G109" s="1">
        <v>33.882352941176471</v>
      </c>
      <c r="I109" s="4" t="s">
        <v>111</v>
      </c>
      <c r="J109" s="1">
        <v>5.2857142857142856</v>
      </c>
    </row>
    <row r="110" spans="3:10" x14ac:dyDescent="0.3">
      <c r="C110" s="4" t="s">
        <v>111</v>
      </c>
      <c r="D110">
        <v>32</v>
      </c>
      <c r="F110" s="4" t="s">
        <v>111</v>
      </c>
      <c r="G110" s="1">
        <v>39.625</v>
      </c>
      <c r="I110" s="4" t="s">
        <v>112</v>
      </c>
      <c r="J110" s="1">
        <v>4.916666666666667</v>
      </c>
    </row>
    <row r="111" spans="3:10" x14ac:dyDescent="0.3">
      <c r="C111" s="4" t="s">
        <v>112</v>
      </c>
      <c r="D111">
        <v>34</v>
      </c>
      <c r="F111" s="4" t="s">
        <v>112</v>
      </c>
      <c r="G111" s="1">
        <v>31.823529411764707</v>
      </c>
      <c r="I111" s="4" t="s">
        <v>113</v>
      </c>
      <c r="J111" s="1">
        <v>4.333333333333333</v>
      </c>
    </row>
    <row r="112" spans="3:10" x14ac:dyDescent="0.3">
      <c r="C112" s="4" t="s">
        <v>113</v>
      </c>
      <c r="D112">
        <v>26</v>
      </c>
      <c r="F112" s="4" t="s">
        <v>113</v>
      </c>
      <c r="G112" s="1">
        <v>37.769230769230766</v>
      </c>
      <c r="I112" s="4" t="s">
        <v>114</v>
      </c>
      <c r="J112" s="1">
        <v>5.333333333333333</v>
      </c>
    </row>
    <row r="113" spans="3:10" x14ac:dyDescent="0.3">
      <c r="C113" s="4" t="s">
        <v>114</v>
      </c>
      <c r="D113">
        <v>36</v>
      </c>
      <c r="F113" s="4" t="s">
        <v>114</v>
      </c>
      <c r="G113" s="1">
        <v>38.055555555555557</v>
      </c>
      <c r="I113" s="4" t="s">
        <v>115</v>
      </c>
      <c r="J113" s="1">
        <v>4.3636363636363633</v>
      </c>
    </row>
    <row r="114" spans="3:10" x14ac:dyDescent="0.3">
      <c r="C114" s="4" t="s">
        <v>115</v>
      </c>
      <c r="D114">
        <v>31</v>
      </c>
      <c r="F114" s="4" t="s">
        <v>115</v>
      </c>
      <c r="G114" s="1">
        <v>30.129032258064516</v>
      </c>
      <c r="I114" s="4" t="s">
        <v>116</v>
      </c>
      <c r="J114" s="1">
        <v>2.9090909090909092</v>
      </c>
    </row>
    <row r="115" spans="3:10" x14ac:dyDescent="0.3">
      <c r="C115" s="4" t="s">
        <v>116</v>
      </c>
      <c r="D115">
        <v>32</v>
      </c>
      <c r="F115" s="4" t="s">
        <v>116</v>
      </c>
      <c r="G115" s="1">
        <v>35.03125</v>
      </c>
      <c r="I115" s="4" t="s">
        <v>117</v>
      </c>
      <c r="J115" s="1">
        <v>4.5</v>
      </c>
    </row>
    <row r="116" spans="3:10" x14ac:dyDescent="0.3">
      <c r="C116" s="4" t="s">
        <v>117</v>
      </c>
      <c r="D116">
        <v>33</v>
      </c>
      <c r="F116" s="4" t="s">
        <v>117</v>
      </c>
      <c r="G116" s="1">
        <v>35.303030303030305</v>
      </c>
      <c r="I116" s="4" t="s">
        <v>118</v>
      </c>
      <c r="J116" s="1">
        <v>6.1</v>
      </c>
    </row>
    <row r="117" spans="3:10" x14ac:dyDescent="0.3">
      <c r="C117" s="4" t="s">
        <v>118</v>
      </c>
      <c r="D117">
        <v>39</v>
      </c>
      <c r="F117" s="4" t="s">
        <v>118</v>
      </c>
      <c r="G117" s="1">
        <v>35.717948717948715</v>
      </c>
      <c r="I117" s="4" t="s">
        <v>119</v>
      </c>
      <c r="J117" s="1">
        <v>6.666666666666667</v>
      </c>
    </row>
    <row r="118" spans="3:10" x14ac:dyDescent="0.3">
      <c r="C118" s="4" t="s">
        <v>119</v>
      </c>
      <c r="D118">
        <v>27</v>
      </c>
      <c r="F118" s="4" t="s">
        <v>119</v>
      </c>
      <c r="G118" s="1">
        <v>41.407407407407405</v>
      </c>
      <c r="I118" s="4" t="s">
        <v>120</v>
      </c>
      <c r="J118" s="1">
        <v>5</v>
      </c>
    </row>
    <row r="119" spans="3:10" x14ac:dyDescent="0.3">
      <c r="C119" s="4" t="s">
        <v>120</v>
      </c>
      <c r="D119">
        <v>32</v>
      </c>
      <c r="F119" s="4" t="s">
        <v>120</v>
      </c>
      <c r="G119" s="1">
        <v>37.28125</v>
      </c>
      <c r="I119" s="4" t="s">
        <v>121</v>
      </c>
      <c r="J119" s="1">
        <v>2.5555555555555554</v>
      </c>
    </row>
    <row r="120" spans="3:10" x14ac:dyDescent="0.3">
      <c r="C120" s="4" t="s">
        <v>121</v>
      </c>
      <c r="D120">
        <v>33</v>
      </c>
      <c r="F120" s="4" t="s">
        <v>121</v>
      </c>
      <c r="G120" s="1">
        <v>38.575757575757578</v>
      </c>
      <c r="I120" s="4" t="s">
        <v>122</v>
      </c>
      <c r="J120" s="1">
        <v>5.5714285714285712</v>
      </c>
    </row>
    <row r="121" spans="3:10" x14ac:dyDescent="0.3">
      <c r="C121" s="4" t="s">
        <v>122</v>
      </c>
      <c r="D121">
        <v>34</v>
      </c>
      <c r="F121" s="4" t="s">
        <v>122</v>
      </c>
      <c r="G121" s="1">
        <v>33.411764705882355</v>
      </c>
      <c r="I121" s="4" t="s">
        <v>123</v>
      </c>
      <c r="J121" s="1">
        <v>4.8461538461538458</v>
      </c>
    </row>
    <row r="122" spans="3:10" x14ac:dyDescent="0.3">
      <c r="C122" s="4" t="s">
        <v>123</v>
      </c>
      <c r="D122">
        <v>35</v>
      </c>
      <c r="F122" s="4" t="s">
        <v>123</v>
      </c>
      <c r="G122" s="1">
        <v>36.6</v>
      </c>
      <c r="I122" s="4" t="s">
        <v>124</v>
      </c>
      <c r="J122" s="1">
        <v>4.8888888888888893</v>
      </c>
    </row>
    <row r="123" spans="3:10" x14ac:dyDescent="0.3">
      <c r="C123" s="4" t="s">
        <v>124</v>
      </c>
      <c r="D123">
        <v>32</v>
      </c>
      <c r="F123" s="4" t="s">
        <v>124</v>
      </c>
      <c r="G123" s="1">
        <v>31.875</v>
      </c>
      <c r="I123" s="4" t="s">
        <v>125</v>
      </c>
      <c r="J123" s="1">
        <v>4.8</v>
      </c>
    </row>
    <row r="124" spans="3:10" x14ac:dyDescent="0.3">
      <c r="C124" s="4" t="s">
        <v>125</v>
      </c>
      <c r="D124">
        <v>27</v>
      </c>
      <c r="F124" s="4" t="s">
        <v>125</v>
      </c>
      <c r="G124" s="1">
        <v>36.925925925925924</v>
      </c>
      <c r="I124" s="4" t="s">
        <v>126</v>
      </c>
      <c r="J124" s="1">
        <v>5.375</v>
      </c>
    </row>
    <row r="125" spans="3:10" x14ac:dyDescent="0.3">
      <c r="C125" s="4" t="s">
        <v>126</v>
      </c>
      <c r="D125">
        <v>30</v>
      </c>
      <c r="F125" s="4" t="s">
        <v>126</v>
      </c>
      <c r="G125" s="1">
        <v>33.533333333333331</v>
      </c>
      <c r="I125" s="4" t="s">
        <v>127</v>
      </c>
      <c r="J125" s="1">
        <v>6.8571428571428568</v>
      </c>
    </row>
    <row r="126" spans="3:10" x14ac:dyDescent="0.3">
      <c r="C126" s="4" t="s">
        <v>127</v>
      </c>
      <c r="D126">
        <v>34</v>
      </c>
      <c r="F126" s="4" t="s">
        <v>127</v>
      </c>
      <c r="G126" s="1">
        <v>33.205882352941174</v>
      </c>
      <c r="I126" s="4" t="s">
        <v>128</v>
      </c>
      <c r="J126" s="1">
        <v>4.3636363636363633</v>
      </c>
    </row>
    <row r="127" spans="3:10" x14ac:dyDescent="0.3">
      <c r="C127" s="4" t="s">
        <v>128</v>
      </c>
      <c r="D127">
        <v>37</v>
      </c>
      <c r="F127" s="4" t="s">
        <v>128</v>
      </c>
      <c r="G127" s="1">
        <v>30.135135135135137</v>
      </c>
      <c r="I127" s="4" t="s">
        <v>129</v>
      </c>
      <c r="J127" s="1">
        <v>6.416666666666667</v>
      </c>
    </row>
    <row r="128" spans="3:10" x14ac:dyDescent="0.3">
      <c r="C128" s="4" t="s">
        <v>129</v>
      </c>
      <c r="D128">
        <v>41</v>
      </c>
      <c r="F128" s="4" t="s">
        <v>129</v>
      </c>
      <c r="G128" s="1">
        <v>38.512195121951223</v>
      </c>
      <c r="I128" s="4" t="s">
        <v>130</v>
      </c>
      <c r="J128" s="1">
        <v>5.5384615384615383</v>
      </c>
    </row>
    <row r="129" spans="3:10" x14ac:dyDescent="0.3">
      <c r="C129" s="4" t="s">
        <v>130</v>
      </c>
      <c r="D129">
        <v>31</v>
      </c>
      <c r="F129" s="4" t="s">
        <v>130</v>
      </c>
      <c r="G129" s="1">
        <v>34.806451612903224</v>
      </c>
      <c r="I129" s="4" t="s">
        <v>131</v>
      </c>
      <c r="J129" s="1">
        <v>5</v>
      </c>
    </row>
    <row r="130" spans="3:10" x14ac:dyDescent="0.3">
      <c r="C130" s="4" t="s">
        <v>131</v>
      </c>
      <c r="D130">
        <v>29</v>
      </c>
      <c r="F130" s="4" t="s">
        <v>131</v>
      </c>
      <c r="G130" s="1">
        <v>34.517241379310342</v>
      </c>
      <c r="I130" s="4" t="s">
        <v>132</v>
      </c>
      <c r="J130" s="1">
        <v>4.9090909090909092</v>
      </c>
    </row>
    <row r="131" spans="3:10" x14ac:dyDescent="0.3">
      <c r="C131" s="4" t="s">
        <v>132</v>
      </c>
      <c r="D131">
        <v>33</v>
      </c>
      <c r="F131" s="4" t="s">
        <v>132</v>
      </c>
      <c r="G131" s="1">
        <v>36.575757575757578</v>
      </c>
      <c r="I131" s="4" t="s">
        <v>133</v>
      </c>
      <c r="J131" s="1">
        <v>3.3</v>
      </c>
    </row>
    <row r="132" spans="3:10" x14ac:dyDescent="0.3">
      <c r="C132" s="4" t="s">
        <v>133</v>
      </c>
      <c r="D132">
        <v>30</v>
      </c>
      <c r="F132" s="4" t="s">
        <v>133</v>
      </c>
      <c r="G132" s="1">
        <v>35.833333333333336</v>
      </c>
      <c r="I132" s="4" t="s">
        <v>134</v>
      </c>
      <c r="J132" s="1">
        <v>4.7</v>
      </c>
    </row>
    <row r="133" spans="3:10" x14ac:dyDescent="0.3">
      <c r="C133" s="4" t="s">
        <v>134</v>
      </c>
      <c r="D133">
        <v>37</v>
      </c>
      <c r="F133" s="4" t="s">
        <v>134</v>
      </c>
      <c r="G133" s="1">
        <v>35.567567567567565</v>
      </c>
      <c r="I133" s="4" t="s">
        <v>135</v>
      </c>
      <c r="J133" s="1">
        <v>4.666666666666667</v>
      </c>
    </row>
    <row r="134" spans="3:10" x14ac:dyDescent="0.3">
      <c r="C134" s="4" t="s">
        <v>135</v>
      </c>
      <c r="D134">
        <v>33</v>
      </c>
      <c r="F134" s="4" t="s">
        <v>135</v>
      </c>
      <c r="G134" s="1">
        <v>36.333333333333336</v>
      </c>
      <c r="I134" s="4" t="s">
        <v>136</v>
      </c>
      <c r="J134" s="1">
        <v>4.875</v>
      </c>
    </row>
    <row r="135" spans="3:10" x14ac:dyDescent="0.3">
      <c r="C135" s="4" t="s">
        <v>136</v>
      </c>
      <c r="D135">
        <v>37</v>
      </c>
      <c r="F135" s="4" t="s">
        <v>136</v>
      </c>
      <c r="G135" s="1">
        <v>31.351351351351351</v>
      </c>
      <c r="I135" s="4" t="s">
        <v>137</v>
      </c>
      <c r="J135" s="1">
        <v>5.333333333333333</v>
      </c>
    </row>
    <row r="136" spans="3:10" x14ac:dyDescent="0.3">
      <c r="C136" s="4" t="s">
        <v>137</v>
      </c>
      <c r="D136">
        <v>31</v>
      </c>
      <c r="F136" s="4" t="s">
        <v>137</v>
      </c>
      <c r="G136" s="1">
        <v>31.64516129032258</v>
      </c>
      <c r="I136" s="4" t="s">
        <v>138</v>
      </c>
      <c r="J136" s="1">
        <v>4.125</v>
      </c>
    </row>
    <row r="137" spans="3:10" x14ac:dyDescent="0.3">
      <c r="C137" s="4" t="s">
        <v>138</v>
      </c>
      <c r="D137">
        <v>25</v>
      </c>
      <c r="F137" s="4" t="s">
        <v>138</v>
      </c>
      <c r="G137" s="1">
        <v>40.200000000000003</v>
      </c>
      <c r="I137" s="4" t="s">
        <v>139</v>
      </c>
      <c r="J137" s="1">
        <v>6</v>
      </c>
    </row>
    <row r="138" spans="3:10" x14ac:dyDescent="0.3">
      <c r="C138" s="4" t="s">
        <v>139</v>
      </c>
      <c r="D138">
        <v>25</v>
      </c>
      <c r="F138" s="4" t="s">
        <v>139</v>
      </c>
      <c r="G138" s="1">
        <v>38</v>
      </c>
      <c r="I138" s="4" t="s">
        <v>140</v>
      </c>
      <c r="J138" s="1">
        <v>4.3</v>
      </c>
    </row>
    <row r="139" spans="3:10" x14ac:dyDescent="0.3">
      <c r="C139" s="4" t="s">
        <v>140</v>
      </c>
      <c r="D139">
        <v>25</v>
      </c>
      <c r="F139" s="4" t="s">
        <v>140</v>
      </c>
      <c r="G139" s="1">
        <v>30.56</v>
      </c>
      <c r="I139" s="4" t="s">
        <v>141</v>
      </c>
      <c r="J139" s="1">
        <v>4.2</v>
      </c>
    </row>
    <row r="140" spans="3:10" x14ac:dyDescent="0.3">
      <c r="C140" s="4" t="s">
        <v>141</v>
      </c>
      <c r="D140">
        <v>23</v>
      </c>
      <c r="F140" s="4" t="s">
        <v>141</v>
      </c>
      <c r="G140" s="1">
        <v>34.565217391304351</v>
      </c>
      <c r="I140" s="4" t="s">
        <v>142</v>
      </c>
      <c r="J140" s="1">
        <v>6.8666666666666663</v>
      </c>
    </row>
    <row r="141" spans="3:10" x14ac:dyDescent="0.3">
      <c r="C141" s="4" t="s">
        <v>142</v>
      </c>
      <c r="D141">
        <v>41</v>
      </c>
      <c r="F141" s="4" t="s">
        <v>142</v>
      </c>
      <c r="G141" s="1">
        <v>32.902439024390247</v>
      </c>
      <c r="I141" s="4" t="s">
        <v>143</v>
      </c>
      <c r="J141" s="1">
        <v>6.2857142857142856</v>
      </c>
    </row>
    <row r="142" spans="3:10" x14ac:dyDescent="0.3">
      <c r="C142" s="4" t="s">
        <v>143</v>
      </c>
      <c r="D142">
        <v>31</v>
      </c>
      <c r="F142" s="4" t="s">
        <v>143</v>
      </c>
      <c r="G142" s="1">
        <v>33.451612903225808</v>
      </c>
      <c r="I142" s="4" t="s">
        <v>144</v>
      </c>
      <c r="J142" s="1">
        <v>4.0909090909090908</v>
      </c>
    </row>
    <row r="143" spans="3:10" x14ac:dyDescent="0.3">
      <c r="C143" s="4" t="s">
        <v>144</v>
      </c>
      <c r="D143">
        <v>34</v>
      </c>
      <c r="F143" s="4" t="s">
        <v>144</v>
      </c>
      <c r="G143" s="1">
        <v>36.117647058823529</v>
      </c>
      <c r="I143" s="4" t="s">
        <v>145</v>
      </c>
      <c r="J143" s="1">
        <v>4</v>
      </c>
    </row>
    <row r="144" spans="3:10" x14ac:dyDescent="0.3">
      <c r="C144" s="4" t="s">
        <v>145</v>
      </c>
      <c r="D144">
        <v>31</v>
      </c>
      <c r="F144" s="4" t="s">
        <v>145</v>
      </c>
      <c r="G144" s="1">
        <v>36.322580645161288</v>
      </c>
      <c r="I144" s="4" t="s">
        <v>146</v>
      </c>
      <c r="J144" s="1">
        <v>5.4285714285714288</v>
      </c>
    </row>
    <row r="145" spans="3:10" x14ac:dyDescent="0.3">
      <c r="C145" s="4" t="s">
        <v>146</v>
      </c>
      <c r="D145">
        <v>31</v>
      </c>
      <c r="F145" s="4" t="s">
        <v>146</v>
      </c>
      <c r="G145" s="1">
        <v>32.806451612903224</v>
      </c>
      <c r="I145" s="4" t="s">
        <v>147</v>
      </c>
      <c r="J145" s="1">
        <v>5.8</v>
      </c>
    </row>
    <row r="146" spans="3:10" x14ac:dyDescent="0.3">
      <c r="C146" s="4" t="s">
        <v>147</v>
      </c>
      <c r="D146">
        <v>44</v>
      </c>
      <c r="F146" s="4" t="s">
        <v>147</v>
      </c>
      <c r="G146" s="1">
        <v>37.704545454545453</v>
      </c>
      <c r="I146" s="4" t="s">
        <v>148</v>
      </c>
      <c r="J146" s="1">
        <v>4.5625</v>
      </c>
    </row>
    <row r="147" spans="3:10" x14ac:dyDescent="0.3">
      <c r="C147" s="4" t="s">
        <v>148</v>
      </c>
      <c r="D147">
        <v>43</v>
      </c>
      <c r="F147" s="4" t="s">
        <v>148</v>
      </c>
      <c r="G147" s="1">
        <v>36.534883720930232</v>
      </c>
      <c r="I147" s="4" t="s">
        <v>149</v>
      </c>
      <c r="J147" s="1">
        <v>4.5454545454545459</v>
      </c>
    </row>
    <row r="148" spans="3:10" x14ac:dyDescent="0.3">
      <c r="C148" s="4" t="s">
        <v>149</v>
      </c>
      <c r="D148">
        <v>33</v>
      </c>
      <c r="F148" s="4" t="s">
        <v>149</v>
      </c>
      <c r="G148" s="1">
        <v>35.303030303030305</v>
      </c>
      <c r="I148" s="4" t="s">
        <v>150</v>
      </c>
      <c r="J148" s="1">
        <v>5.75</v>
      </c>
    </row>
    <row r="149" spans="3:10" x14ac:dyDescent="0.3">
      <c r="C149" s="4" t="s">
        <v>150</v>
      </c>
      <c r="D149">
        <v>28</v>
      </c>
      <c r="F149" s="4" t="s">
        <v>150</v>
      </c>
      <c r="G149" s="1">
        <v>41.535714285714285</v>
      </c>
      <c r="I149" s="4" t="s">
        <v>151</v>
      </c>
      <c r="J149" s="1">
        <v>5.2</v>
      </c>
    </row>
    <row r="150" spans="3:10" x14ac:dyDescent="0.3">
      <c r="C150" s="4" t="s">
        <v>151</v>
      </c>
      <c r="D150">
        <v>34</v>
      </c>
      <c r="F150" s="4" t="s">
        <v>151</v>
      </c>
      <c r="G150" s="1">
        <v>38.147058823529413</v>
      </c>
      <c r="I150" s="4" t="s">
        <v>152</v>
      </c>
      <c r="J150" s="1">
        <v>7.25</v>
      </c>
    </row>
    <row r="151" spans="3:10" x14ac:dyDescent="0.3">
      <c r="C151" s="4" t="s">
        <v>152</v>
      </c>
      <c r="D151">
        <v>24</v>
      </c>
      <c r="F151" s="4" t="s">
        <v>152</v>
      </c>
      <c r="G151" s="1">
        <v>37.166666666666664</v>
      </c>
      <c r="I151" s="4" t="s">
        <v>153</v>
      </c>
      <c r="J151" s="1">
        <v>4.8</v>
      </c>
    </row>
    <row r="152" spans="3:10" x14ac:dyDescent="0.3">
      <c r="C152" s="4" t="s">
        <v>153</v>
      </c>
      <c r="D152">
        <v>27</v>
      </c>
      <c r="F152" s="4" t="s">
        <v>153</v>
      </c>
      <c r="G152" s="1">
        <v>33.629629629629626</v>
      </c>
      <c r="I152" s="4" t="s">
        <v>154</v>
      </c>
      <c r="J152" s="1">
        <v>4.5384615384615383</v>
      </c>
    </row>
    <row r="153" spans="3:10" x14ac:dyDescent="0.3">
      <c r="C153" s="4" t="s">
        <v>154</v>
      </c>
      <c r="D153">
        <v>23</v>
      </c>
      <c r="F153" s="4" t="s">
        <v>154</v>
      </c>
      <c r="G153" s="1">
        <v>33.130434782608695</v>
      </c>
      <c r="I153" s="4" t="s">
        <v>155</v>
      </c>
      <c r="J153" s="1">
        <v>4.5999999999999996</v>
      </c>
    </row>
    <row r="154" spans="3:10" x14ac:dyDescent="0.3">
      <c r="C154" s="4" t="s">
        <v>155</v>
      </c>
      <c r="D154">
        <v>35</v>
      </c>
      <c r="F154" s="4" t="s">
        <v>155</v>
      </c>
      <c r="G154" s="1">
        <v>36.085714285714289</v>
      </c>
      <c r="I154" s="4" t="s">
        <v>156</v>
      </c>
      <c r="J154" s="1">
        <v>5</v>
      </c>
    </row>
    <row r="155" spans="3:10" x14ac:dyDescent="0.3">
      <c r="C155" s="4" t="s">
        <v>156</v>
      </c>
      <c r="D155">
        <v>39</v>
      </c>
      <c r="F155" s="4" t="s">
        <v>156</v>
      </c>
      <c r="G155" s="1">
        <v>33.512820512820511</v>
      </c>
      <c r="I155" s="4" t="s">
        <v>157</v>
      </c>
      <c r="J155" s="1">
        <v>7</v>
      </c>
    </row>
    <row r="156" spans="3:10" x14ac:dyDescent="0.3">
      <c r="C156" s="4" t="s">
        <v>157</v>
      </c>
      <c r="D156">
        <v>30</v>
      </c>
      <c r="F156" s="4" t="s">
        <v>157</v>
      </c>
      <c r="G156" s="1">
        <v>33.733333333333334</v>
      </c>
      <c r="I156" s="4" t="s">
        <v>219</v>
      </c>
      <c r="J156" s="1">
        <v>4.7777777777777777</v>
      </c>
    </row>
    <row r="157" spans="3:10" x14ac:dyDescent="0.3">
      <c r="C157" s="4" t="s">
        <v>219</v>
      </c>
      <c r="D157">
        <v>43</v>
      </c>
      <c r="F157" s="4" t="s">
        <v>219</v>
      </c>
      <c r="G157" s="1">
        <v>34.279069767441861</v>
      </c>
      <c r="I157" s="4" t="s">
        <v>220</v>
      </c>
      <c r="J157" s="1">
        <v>5.2727272727272725</v>
      </c>
    </row>
    <row r="158" spans="3:10" x14ac:dyDescent="0.3">
      <c r="C158" s="4" t="s">
        <v>220</v>
      </c>
      <c r="D158">
        <v>27</v>
      </c>
      <c r="F158" s="4" t="s">
        <v>220</v>
      </c>
      <c r="G158" s="1">
        <v>36.222222222222221</v>
      </c>
      <c r="I158" s="4" t="s">
        <v>221</v>
      </c>
      <c r="J158" s="1">
        <v>4.2727272727272725</v>
      </c>
    </row>
    <row r="159" spans="3:10" x14ac:dyDescent="0.3">
      <c r="C159" s="4" t="s">
        <v>221</v>
      </c>
      <c r="D159">
        <v>42</v>
      </c>
      <c r="F159" s="4" t="s">
        <v>221</v>
      </c>
      <c r="G159" s="1">
        <v>35.904761904761905</v>
      </c>
      <c r="I159" s="4" t="s">
        <v>222</v>
      </c>
      <c r="J159" s="1">
        <v>5</v>
      </c>
    </row>
    <row r="160" spans="3:10" x14ac:dyDescent="0.3">
      <c r="C160" s="4" t="s">
        <v>222</v>
      </c>
      <c r="D160">
        <v>32</v>
      </c>
      <c r="F160" s="4" t="s">
        <v>222</v>
      </c>
      <c r="G160" s="1">
        <v>32.53125</v>
      </c>
      <c r="I160" s="4" t="s">
        <v>223</v>
      </c>
      <c r="J160" s="1">
        <v>4.3571428571428568</v>
      </c>
    </row>
    <row r="161" spans="3:10" x14ac:dyDescent="0.3">
      <c r="C161" s="4" t="s">
        <v>223</v>
      </c>
      <c r="D161">
        <v>32</v>
      </c>
      <c r="F161" s="4" t="s">
        <v>223</v>
      </c>
      <c r="G161" s="1">
        <v>33.84375</v>
      </c>
      <c r="I161" s="4" t="s">
        <v>224</v>
      </c>
      <c r="J161" s="1">
        <v>4.8571428571428568</v>
      </c>
    </row>
    <row r="162" spans="3:10" x14ac:dyDescent="0.3">
      <c r="C162" s="4" t="s">
        <v>224</v>
      </c>
      <c r="D162">
        <v>28</v>
      </c>
      <c r="F162" s="4" t="s">
        <v>224</v>
      </c>
      <c r="G162" s="1">
        <v>35.214285714285715</v>
      </c>
      <c r="I162" s="4" t="s">
        <v>225</v>
      </c>
      <c r="J162" s="1">
        <v>5.125</v>
      </c>
    </row>
    <row r="163" spans="3:10" x14ac:dyDescent="0.3">
      <c r="C163" s="4" t="s">
        <v>225</v>
      </c>
      <c r="D163">
        <v>32</v>
      </c>
      <c r="F163" s="4" t="s">
        <v>225</v>
      </c>
      <c r="G163" s="1">
        <v>37.21875</v>
      </c>
      <c r="I163" s="4" t="s">
        <v>226</v>
      </c>
      <c r="J163" s="1">
        <v>5</v>
      </c>
    </row>
    <row r="164" spans="3:10" x14ac:dyDescent="0.3">
      <c r="C164" s="4" t="s">
        <v>226</v>
      </c>
      <c r="D164">
        <v>39</v>
      </c>
      <c r="F164" s="4" t="s">
        <v>226</v>
      </c>
      <c r="G164" s="1">
        <v>36.871794871794869</v>
      </c>
      <c r="I164" s="4" t="s">
        <v>227</v>
      </c>
      <c r="J164" s="1">
        <v>5.2222222222222223</v>
      </c>
    </row>
    <row r="165" spans="3:10" x14ac:dyDescent="0.3">
      <c r="C165" s="4" t="s">
        <v>227</v>
      </c>
      <c r="D165">
        <v>40</v>
      </c>
      <c r="F165" s="4" t="s">
        <v>227</v>
      </c>
      <c r="G165" s="1">
        <v>36.450000000000003</v>
      </c>
      <c r="I165" s="4" t="s">
        <v>228</v>
      </c>
      <c r="J165" s="1">
        <v>4.2222222222222223</v>
      </c>
    </row>
    <row r="166" spans="3:10" x14ac:dyDescent="0.3">
      <c r="C166" s="4" t="s">
        <v>228</v>
      </c>
      <c r="D166">
        <v>31</v>
      </c>
      <c r="F166" s="4" t="s">
        <v>228</v>
      </c>
      <c r="G166" s="1">
        <v>32.935483870967744</v>
      </c>
      <c r="I166" s="4" t="s">
        <v>229</v>
      </c>
      <c r="J166" s="1">
        <v>4.8571428571428568</v>
      </c>
    </row>
    <row r="167" spans="3:10" x14ac:dyDescent="0.3">
      <c r="C167" s="4" t="s">
        <v>229</v>
      </c>
      <c r="D167">
        <v>34</v>
      </c>
      <c r="F167" s="4" t="s">
        <v>229</v>
      </c>
      <c r="G167" s="1">
        <v>41.323529411764703</v>
      </c>
      <c r="I167" s="4" t="s">
        <v>230</v>
      </c>
      <c r="J167" s="1">
        <v>3.8888888888888888</v>
      </c>
    </row>
    <row r="168" spans="3:10" x14ac:dyDescent="0.3">
      <c r="C168" s="4" t="s">
        <v>230</v>
      </c>
      <c r="D168">
        <v>37</v>
      </c>
      <c r="F168" s="4" t="s">
        <v>230</v>
      </c>
      <c r="G168" s="1">
        <v>34.432432432432435</v>
      </c>
      <c r="I168" s="4" t="s">
        <v>231</v>
      </c>
      <c r="J168" s="1">
        <v>4</v>
      </c>
    </row>
    <row r="169" spans="3:10" x14ac:dyDescent="0.3">
      <c r="C169" s="4" t="s">
        <v>231</v>
      </c>
      <c r="D169">
        <v>30</v>
      </c>
      <c r="F169" s="4" t="s">
        <v>231</v>
      </c>
      <c r="G169" s="1">
        <v>36.966666666666669</v>
      </c>
      <c r="I169" s="4" t="s">
        <v>232</v>
      </c>
      <c r="J169" s="1">
        <v>5</v>
      </c>
    </row>
    <row r="170" spans="3:10" x14ac:dyDescent="0.3">
      <c r="C170" s="4" t="s">
        <v>232</v>
      </c>
      <c r="D170">
        <v>25</v>
      </c>
      <c r="F170" s="4" t="s">
        <v>232</v>
      </c>
      <c r="G170" s="1">
        <v>39.520000000000003</v>
      </c>
      <c r="I170" s="4" t="s">
        <v>233</v>
      </c>
      <c r="J170" s="1">
        <v>5.7777777777777777</v>
      </c>
    </row>
    <row r="171" spans="3:10" x14ac:dyDescent="0.3">
      <c r="C171" s="4" t="s">
        <v>233</v>
      </c>
      <c r="D171">
        <v>38</v>
      </c>
      <c r="F171" s="4" t="s">
        <v>233</v>
      </c>
      <c r="G171" s="1">
        <v>36.026315789473685</v>
      </c>
      <c r="I171" s="4" t="s">
        <v>234</v>
      </c>
      <c r="J171" s="1">
        <v>2.6</v>
      </c>
    </row>
    <row r="172" spans="3:10" x14ac:dyDescent="0.3">
      <c r="C172" s="4" t="s">
        <v>234</v>
      </c>
      <c r="D172">
        <v>27</v>
      </c>
      <c r="F172" s="4" t="s">
        <v>234</v>
      </c>
      <c r="G172" s="1">
        <v>32.370370370370374</v>
      </c>
      <c r="I172" s="4" t="s">
        <v>235</v>
      </c>
      <c r="J172" s="1">
        <v>6.5</v>
      </c>
    </row>
    <row r="173" spans="3:10" x14ac:dyDescent="0.3">
      <c r="C173" s="4" t="s">
        <v>235</v>
      </c>
      <c r="D173">
        <v>37</v>
      </c>
      <c r="F173" s="4" t="s">
        <v>235</v>
      </c>
      <c r="G173" s="1">
        <v>33.243243243243242</v>
      </c>
      <c r="I173" s="4" t="s">
        <v>236</v>
      </c>
      <c r="J173" s="1">
        <v>3.8181818181818183</v>
      </c>
    </row>
    <row r="174" spans="3:10" x14ac:dyDescent="0.3">
      <c r="C174" s="4" t="s">
        <v>236</v>
      </c>
      <c r="D174">
        <v>33</v>
      </c>
      <c r="F174" s="4" t="s">
        <v>236</v>
      </c>
      <c r="G174" s="1">
        <v>33.575757575757578</v>
      </c>
      <c r="I174" s="4" t="s">
        <v>237</v>
      </c>
      <c r="J174" s="1">
        <v>4.4000000000000004</v>
      </c>
    </row>
    <row r="175" spans="3:10" x14ac:dyDescent="0.3">
      <c r="C175" s="4" t="s">
        <v>237</v>
      </c>
      <c r="D175">
        <v>23</v>
      </c>
      <c r="F175" s="4" t="s">
        <v>237</v>
      </c>
      <c r="G175" s="1">
        <v>31.130434782608695</v>
      </c>
      <c r="I175" s="4" t="s">
        <v>238</v>
      </c>
      <c r="J175" s="1">
        <v>4.5</v>
      </c>
    </row>
    <row r="176" spans="3:10" x14ac:dyDescent="0.3">
      <c r="C176" s="4" t="s">
        <v>238</v>
      </c>
      <c r="D176">
        <v>27</v>
      </c>
      <c r="F176" s="4" t="s">
        <v>238</v>
      </c>
      <c r="G176" s="1">
        <v>36.888888888888886</v>
      </c>
      <c r="I176" s="4" t="s">
        <v>239</v>
      </c>
      <c r="J176" s="1">
        <v>4.625</v>
      </c>
    </row>
    <row r="177" spans="3:10" x14ac:dyDescent="0.3">
      <c r="C177" s="4" t="s">
        <v>239</v>
      </c>
      <c r="D177">
        <v>29</v>
      </c>
      <c r="F177" s="4" t="s">
        <v>239</v>
      </c>
      <c r="G177" s="1">
        <v>29.862068965517242</v>
      </c>
      <c r="I177" s="4" t="s">
        <v>240</v>
      </c>
      <c r="J177" s="1">
        <v>4.5</v>
      </c>
    </row>
    <row r="178" spans="3:10" x14ac:dyDescent="0.3">
      <c r="C178" s="4" t="s">
        <v>240</v>
      </c>
      <c r="D178">
        <v>38</v>
      </c>
      <c r="F178" s="4" t="s">
        <v>240</v>
      </c>
      <c r="G178" s="1">
        <v>36.526315789473685</v>
      </c>
      <c r="I178" s="4" t="s">
        <v>241</v>
      </c>
      <c r="J178" s="1">
        <v>5.833333333333333</v>
      </c>
    </row>
    <row r="179" spans="3:10" x14ac:dyDescent="0.3">
      <c r="C179" s="4" t="s">
        <v>241</v>
      </c>
      <c r="D179">
        <v>28</v>
      </c>
      <c r="F179" s="4" t="s">
        <v>241</v>
      </c>
      <c r="G179" s="1">
        <v>34.571428571428569</v>
      </c>
      <c r="I179" s="4" t="s">
        <v>242</v>
      </c>
      <c r="J179" s="1">
        <v>4.666666666666667</v>
      </c>
    </row>
    <row r="180" spans="3:10" x14ac:dyDescent="0.3">
      <c r="C180" s="4" t="s">
        <v>242</v>
      </c>
      <c r="D180">
        <v>36</v>
      </c>
      <c r="F180" s="4" t="s">
        <v>242</v>
      </c>
      <c r="G180" s="1">
        <v>38.5</v>
      </c>
      <c r="I180" s="4" t="s">
        <v>243</v>
      </c>
      <c r="J180" s="1">
        <v>4.666666666666667</v>
      </c>
    </row>
    <row r="181" spans="3:10" x14ac:dyDescent="0.3">
      <c r="C181" s="4" t="s">
        <v>243</v>
      </c>
      <c r="D181">
        <v>31</v>
      </c>
      <c r="F181" s="4" t="s">
        <v>243</v>
      </c>
      <c r="G181" s="1">
        <v>37.12903225806452</v>
      </c>
      <c r="I181" s="4" t="s">
        <v>244</v>
      </c>
      <c r="J181" s="1">
        <v>6.75</v>
      </c>
    </row>
    <row r="182" spans="3:10" x14ac:dyDescent="0.3">
      <c r="C182" s="4" t="s">
        <v>244</v>
      </c>
      <c r="D182">
        <v>34</v>
      </c>
      <c r="F182" s="4" t="s">
        <v>244</v>
      </c>
      <c r="G182" s="1">
        <v>33.852941176470587</v>
      </c>
      <c r="I182" s="4" t="s">
        <v>245</v>
      </c>
      <c r="J182" s="1">
        <v>5.7</v>
      </c>
    </row>
    <row r="183" spans="3:10" x14ac:dyDescent="0.3">
      <c r="C183" s="4" t="s">
        <v>245</v>
      </c>
      <c r="D183">
        <v>39</v>
      </c>
      <c r="F183" s="4" t="s">
        <v>245</v>
      </c>
      <c r="G183" s="1">
        <v>37.230769230769234</v>
      </c>
      <c r="I183" s="4" t="s">
        <v>246</v>
      </c>
      <c r="J183" s="1">
        <v>5.5</v>
      </c>
    </row>
    <row r="184" spans="3:10" x14ac:dyDescent="0.3">
      <c r="C184" s="4" t="s">
        <v>246</v>
      </c>
      <c r="D184">
        <v>40</v>
      </c>
      <c r="F184" s="4" t="s">
        <v>246</v>
      </c>
      <c r="G184" s="1">
        <v>36.075000000000003</v>
      </c>
      <c r="I184" s="4" t="s">
        <v>247</v>
      </c>
      <c r="J184" s="1">
        <v>6.2222222222222223</v>
      </c>
    </row>
    <row r="185" spans="3:10" x14ac:dyDescent="0.3">
      <c r="C185" s="4" t="s">
        <v>247</v>
      </c>
      <c r="D185">
        <v>31</v>
      </c>
      <c r="F185" s="4" t="s">
        <v>247</v>
      </c>
      <c r="G185" s="1">
        <v>34.354838709677416</v>
      </c>
      <c r="I185" s="4" t="s">
        <v>248</v>
      </c>
      <c r="J185" s="1">
        <v>5.833333333333333</v>
      </c>
    </row>
    <row r="186" spans="3:10" x14ac:dyDescent="0.3">
      <c r="C186" s="4" t="s">
        <v>248</v>
      </c>
      <c r="D186">
        <v>28</v>
      </c>
      <c r="F186" s="4" t="s">
        <v>248</v>
      </c>
      <c r="G186" s="1">
        <v>39.571428571428569</v>
      </c>
      <c r="I186" s="4" t="s">
        <v>249</v>
      </c>
      <c r="J186" s="1">
        <v>3.7</v>
      </c>
    </row>
    <row r="187" spans="3:10" x14ac:dyDescent="0.3">
      <c r="C187" s="4" t="s">
        <v>249</v>
      </c>
      <c r="D187">
        <v>32</v>
      </c>
      <c r="F187" s="4" t="s">
        <v>249</v>
      </c>
      <c r="G187" s="1">
        <v>37.53125</v>
      </c>
      <c r="I187" s="4" t="s">
        <v>250</v>
      </c>
      <c r="J187" s="1">
        <v>5.8</v>
      </c>
    </row>
    <row r="188" spans="3:10" x14ac:dyDescent="0.3">
      <c r="C188" s="4" t="s">
        <v>250</v>
      </c>
      <c r="D188">
        <v>28</v>
      </c>
      <c r="F188" s="4" t="s">
        <v>250</v>
      </c>
      <c r="G188" s="1">
        <v>31.357142857142858</v>
      </c>
      <c r="I188" s="4" t="s">
        <v>251</v>
      </c>
      <c r="J188" s="1">
        <v>4</v>
      </c>
    </row>
    <row r="189" spans="3:10" x14ac:dyDescent="0.3">
      <c r="C189" s="4" t="s">
        <v>251</v>
      </c>
      <c r="D189">
        <v>28</v>
      </c>
      <c r="F189" s="4" t="s">
        <v>251</v>
      </c>
      <c r="G189" s="1">
        <v>35.285714285714285</v>
      </c>
      <c r="I189" s="4" t="s">
        <v>252</v>
      </c>
      <c r="J189" s="1">
        <v>2</v>
      </c>
    </row>
    <row r="190" spans="3:10" x14ac:dyDescent="0.3">
      <c r="C190" s="4" t="s">
        <v>252</v>
      </c>
      <c r="D190">
        <v>25</v>
      </c>
      <c r="F190" s="4" t="s">
        <v>252</v>
      </c>
      <c r="G190" s="1">
        <v>34</v>
      </c>
      <c r="I190" s="4" t="s">
        <v>253</v>
      </c>
      <c r="J190" s="1">
        <v>6</v>
      </c>
    </row>
    <row r="191" spans="3:10" x14ac:dyDescent="0.3">
      <c r="C191" s="4" t="s">
        <v>253</v>
      </c>
      <c r="D191">
        <v>23</v>
      </c>
      <c r="F191" s="4" t="s">
        <v>253</v>
      </c>
      <c r="G191" s="1">
        <v>28.391304347826086</v>
      </c>
      <c r="I191" s="4" t="s">
        <v>254</v>
      </c>
      <c r="J191" s="1">
        <v>5</v>
      </c>
    </row>
    <row r="192" spans="3:10" x14ac:dyDescent="0.3">
      <c r="C192" s="4" t="s">
        <v>254</v>
      </c>
      <c r="D192">
        <v>22</v>
      </c>
      <c r="F192" s="4" t="s">
        <v>254</v>
      </c>
      <c r="G192" s="1">
        <v>36.545454545454547</v>
      </c>
      <c r="I192" s="4" t="s">
        <v>255</v>
      </c>
      <c r="J192" s="1">
        <v>5.1111111111111107</v>
      </c>
    </row>
    <row r="193" spans="3:10" x14ac:dyDescent="0.3">
      <c r="C193" s="4" t="s">
        <v>255</v>
      </c>
      <c r="D193">
        <v>33</v>
      </c>
      <c r="F193" s="4" t="s">
        <v>255</v>
      </c>
      <c r="G193" s="1">
        <v>33.939393939393938</v>
      </c>
      <c r="I193" s="4" t="s">
        <v>256</v>
      </c>
      <c r="J193" s="1">
        <v>3.8571428571428572</v>
      </c>
    </row>
    <row r="194" spans="3:10" x14ac:dyDescent="0.3">
      <c r="C194" s="4" t="s">
        <v>256</v>
      </c>
      <c r="D194">
        <v>31</v>
      </c>
      <c r="F194" s="4" t="s">
        <v>256</v>
      </c>
      <c r="G194" s="1">
        <v>38.516129032258064</v>
      </c>
      <c r="I194" s="4" t="s">
        <v>257</v>
      </c>
      <c r="J194" s="1">
        <v>6.5714285714285712</v>
      </c>
    </row>
    <row r="195" spans="3:10" x14ac:dyDescent="0.3">
      <c r="C195" s="4" t="s">
        <v>257</v>
      </c>
      <c r="D195">
        <v>35</v>
      </c>
      <c r="F195" s="4" t="s">
        <v>257</v>
      </c>
      <c r="G195" s="1">
        <v>34.74285714285714</v>
      </c>
      <c r="I195" s="4" t="s">
        <v>258</v>
      </c>
      <c r="J195" s="1">
        <v>5.2857142857142856</v>
      </c>
    </row>
    <row r="196" spans="3:10" x14ac:dyDescent="0.3">
      <c r="C196" s="4" t="s">
        <v>258</v>
      </c>
      <c r="D196">
        <v>30</v>
      </c>
      <c r="F196" s="4" t="s">
        <v>258</v>
      </c>
      <c r="G196" s="1">
        <v>34.5</v>
      </c>
      <c r="I196" s="4" t="s">
        <v>259</v>
      </c>
      <c r="J196" s="1">
        <v>5.5</v>
      </c>
    </row>
    <row r="197" spans="3:10" x14ac:dyDescent="0.3">
      <c r="C197" s="4" t="s">
        <v>259</v>
      </c>
      <c r="D197">
        <v>32</v>
      </c>
      <c r="F197" s="4" t="s">
        <v>259</v>
      </c>
      <c r="G197" s="1">
        <v>31.65625</v>
      </c>
      <c r="I197" s="4" t="s">
        <v>260</v>
      </c>
      <c r="J197" s="1">
        <v>4.8181818181818183</v>
      </c>
    </row>
    <row r="198" spans="3:10" x14ac:dyDescent="0.3">
      <c r="C198" s="4" t="s">
        <v>260</v>
      </c>
      <c r="D198">
        <v>39</v>
      </c>
      <c r="F198" s="4" t="s">
        <v>260</v>
      </c>
      <c r="G198" s="1">
        <v>37.384615384615387</v>
      </c>
      <c r="I198" s="4" t="s">
        <v>261</v>
      </c>
      <c r="J198" s="1">
        <v>5</v>
      </c>
    </row>
    <row r="199" spans="3:10" x14ac:dyDescent="0.3">
      <c r="C199" s="4" t="s">
        <v>261</v>
      </c>
      <c r="D199">
        <v>39</v>
      </c>
      <c r="F199" s="4" t="s">
        <v>261</v>
      </c>
      <c r="G199" s="1">
        <v>36.205128205128204</v>
      </c>
      <c r="I199" s="4" t="s">
        <v>262</v>
      </c>
      <c r="J199" s="1">
        <v>3.2222222222222223</v>
      </c>
    </row>
    <row r="200" spans="3:10" x14ac:dyDescent="0.3">
      <c r="C200" s="4" t="s">
        <v>262</v>
      </c>
      <c r="D200">
        <v>30</v>
      </c>
      <c r="F200" s="4" t="s">
        <v>262</v>
      </c>
      <c r="G200" s="1">
        <v>35.6</v>
      </c>
      <c r="I200" s="4" t="s">
        <v>263</v>
      </c>
      <c r="J200" s="1">
        <v>6.333333333333333</v>
      </c>
    </row>
    <row r="201" spans="3:10" x14ac:dyDescent="0.3">
      <c r="C201" s="4" t="s">
        <v>263</v>
      </c>
      <c r="D201">
        <v>29</v>
      </c>
      <c r="F201" s="4" t="s">
        <v>263</v>
      </c>
      <c r="G201" s="1">
        <v>31.068965517241381</v>
      </c>
      <c r="I201" s="4" t="s">
        <v>264</v>
      </c>
      <c r="J201" s="1">
        <v>3.8</v>
      </c>
    </row>
    <row r="202" spans="3:10" x14ac:dyDescent="0.3">
      <c r="C202" s="4" t="s">
        <v>264</v>
      </c>
      <c r="D202">
        <v>34</v>
      </c>
      <c r="F202" s="4" t="s">
        <v>264</v>
      </c>
      <c r="G202" s="1">
        <v>33</v>
      </c>
      <c r="I202" s="4" t="s">
        <v>265</v>
      </c>
      <c r="J202" s="1">
        <v>3.1111111111111112</v>
      </c>
    </row>
    <row r="203" spans="3:10" x14ac:dyDescent="0.3">
      <c r="C203" s="4" t="s">
        <v>265</v>
      </c>
      <c r="D203">
        <v>30</v>
      </c>
      <c r="F203" s="4" t="s">
        <v>265</v>
      </c>
      <c r="G203" s="1">
        <v>36.233333333333334</v>
      </c>
      <c r="I203" s="4" t="s">
        <v>266</v>
      </c>
      <c r="J203" s="1">
        <v>2.8333333333333335</v>
      </c>
    </row>
    <row r="204" spans="3:10" x14ac:dyDescent="0.3">
      <c r="C204" s="4" t="s">
        <v>266</v>
      </c>
      <c r="D204">
        <v>28</v>
      </c>
      <c r="F204" s="4" t="s">
        <v>266</v>
      </c>
      <c r="G204" s="1">
        <v>37.142857142857146</v>
      </c>
      <c r="I204" s="4" t="s">
        <v>267</v>
      </c>
      <c r="J204" s="1">
        <v>6.625</v>
      </c>
    </row>
    <row r="205" spans="3:10" x14ac:dyDescent="0.3">
      <c r="C205" s="4" t="s">
        <v>267</v>
      </c>
      <c r="D205">
        <v>33</v>
      </c>
      <c r="F205" s="4" t="s">
        <v>267</v>
      </c>
      <c r="G205" s="1">
        <v>34.666666666666664</v>
      </c>
      <c r="I205" s="4" t="s">
        <v>268</v>
      </c>
      <c r="J205" s="1">
        <v>3.5</v>
      </c>
    </row>
    <row r="206" spans="3:10" x14ac:dyDescent="0.3">
      <c r="C206" s="4" t="s">
        <v>268</v>
      </c>
      <c r="D206">
        <v>30</v>
      </c>
      <c r="F206" s="4" t="s">
        <v>268</v>
      </c>
      <c r="G206" s="1">
        <v>36.033333333333331</v>
      </c>
      <c r="I206" s="4" t="s">
        <v>269</v>
      </c>
      <c r="J206" s="1">
        <v>5.166666666666667</v>
      </c>
    </row>
    <row r="207" spans="3:10" x14ac:dyDescent="0.3">
      <c r="C207" s="4" t="s">
        <v>269</v>
      </c>
      <c r="D207">
        <v>31</v>
      </c>
      <c r="F207" s="4" t="s">
        <v>269</v>
      </c>
      <c r="G207" s="1">
        <v>33.838709677419352</v>
      </c>
      <c r="I207" s="4" t="s">
        <v>270</v>
      </c>
      <c r="J207" s="1">
        <v>5.333333333333333</v>
      </c>
    </row>
    <row r="208" spans="3:10" x14ac:dyDescent="0.3">
      <c r="C208" s="4" t="s">
        <v>270</v>
      </c>
      <c r="D208">
        <v>27</v>
      </c>
      <c r="F208" s="4" t="s">
        <v>270</v>
      </c>
      <c r="G208" s="1">
        <v>34.592592592592595</v>
      </c>
      <c r="I208" s="4" t="s">
        <v>271</v>
      </c>
      <c r="J208" s="1">
        <v>4.875</v>
      </c>
    </row>
    <row r="209" spans="3:10" x14ac:dyDescent="0.3">
      <c r="C209" s="4" t="s">
        <v>271</v>
      </c>
      <c r="D209">
        <v>32</v>
      </c>
      <c r="F209" s="4" t="s">
        <v>271</v>
      </c>
      <c r="G209" s="1">
        <v>34.4375</v>
      </c>
      <c r="I209" s="4" t="s">
        <v>272</v>
      </c>
      <c r="J209" s="1">
        <v>4.5</v>
      </c>
    </row>
    <row r="210" spans="3:10" x14ac:dyDescent="0.3">
      <c r="C210" s="4" t="s">
        <v>272</v>
      </c>
      <c r="D210">
        <v>29</v>
      </c>
      <c r="F210" s="4" t="s">
        <v>272</v>
      </c>
      <c r="G210" s="1">
        <v>36.172413793103445</v>
      </c>
      <c r="I210" s="4" t="s">
        <v>273</v>
      </c>
      <c r="J210" s="1">
        <v>4.625</v>
      </c>
    </row>
    <row r="211" spans="3:10" x14ac:dyDescent="0.3">
      <c r="C211" s="4" t="s">
        <v>273</v>
      </c>
      <c r="D211">
        <v>29</v>
      </c>
      <c r="F211" s="4" t="s">
        <v>273</v>
      </c>
      <c r="G211" s="1">
        <v>34.758620689655174</v>
      </c>
      <c r="I211" s="4" t="s">
        <v>274</v>
      </c>
      <c r="J211" s="1">
        <v>5</v>
      </c>
    </row>
    <row r="212" spans="3:10" x14ac:dyDescent="0.3">
      <c r="C212" s="4" t="s">
        <v>274</v>
      </c>
      <c r="D212">
        <v>29</v>
      </c>
      <c r="F212" s="4" t="s">
        <v>274</v>
      </c>
      <c r="G212" s="1">
        <v>37.241379310344826</v>
      </c>
      <c r="I212" s="4" t="s">
        <v>275</v>
      </c>
      <c r="J212" s="1">
        <v>6.8181818181818183</v>
      </c>
    </row>
    <row r="213" spans="3:10" x14ac:dyDescent="0.3">
      <c r="C213" s="4" t="s">
        <v>275</v>
      </c>
      <c r="D213">
        <v>30</v>
      </c>
      <c r="F213" s="4" t="s">
        <v>275</v>
      </c>
      <c r="G213" s="1">
        <v>33.9</v>
      </c>
      <c r="I213" s="4" t="s">
        <v>276</v>
      </c>
      <c r="J213" s="1">
        <v>6.375</v>
      </c>
    </row>
    <row r="214" spans="3:10" x14ac:dyDescent="0.3">
      <c r="C214" s="4" t="s">
        <v>276</v>
      </c>
      <c r="D214">
        <v>32</v>
      </c>
      <c r="F214" s="4" t="s">
        <v>276</v>
      </c>
      <c r="G214" s="1">
        <v>35.4375</v>
      </c>
      <c r="I214" s="4" t="s">
        <v>277</v>
      </c>
      <c r="J214" s="1">
        <v>4.615384615384615</v>
      </c>
    </row>
    <row r="215" spans="3:10" x14ac:dyDescent="0.3">
      <c r="C215" s="4" t="s">
        <v>277</v>
      </c>
      <c r="D215">
        <v>39</v>
      </c>
      <c r="F215" s="4" t="s">
        <v>277</v>
      </c>
      <c r="G215" s="1">
        <v>36.820512820512818</v>
      </c>
      <c r="I215" s="4" t="s">
        <v>278</v>
      </c>
      <c r="J215" s="1">
        <v>5.5454545454545459</v>
      </c>
    </row>
    <row r="216" spans="3:10" x14ac:dyDescent="0.3">
      <c r="C216" s="4" t="s">
        <v>278</v>
      </c>
      <c r="D216">
        <v>32</v>
      </c>
      <c r="F216" s="4" t="s">
        <v>278</v>
      </c>
      <c r="G216" s="1">
        <v>31.3125</v>
      </c>
      <c r="I216" s="4" t="s">
        <v>279</v>
      </c>
      <c r="J216" s="1">
        <v>6.9090909090909092</v>
      </c>
    </row>
    <row r="217" spans="3:10" x14ac:dyDescent="0.3">
      <c r="C217" s="4" t="s">
        <v>279</v>
      </c>
      <c r="D217">
        <v>31</v>
      </c>
      <c r="F217" s="4" t="s">
        <v>279</v>
      </c>
      <c r="G217" s="1">
        <v>39.064516129032256</v>
      </c>
      <c r="I217" s="4" t="s">
        <v>280</v>
      </c>
      <c r="J217" s="1">
        <v>5.2</v>
      </c>
    </row>
    <row r="218" spans="3:10" x14ac:dyDescent="0.3">
      <c r="C218" s="4" t="s">
        <v>280</v>
      </c>
      <c r="D218">
        <v>42</v>
      </c>
      <c r="F218" s="4" t="s">
        <v>280</v>
      </c>
      <c r="G218" s="1">
        <v>35.428571428571431</v>
      </c>
      <c r="I218" s="4" t="s">
        <v>281</v>
      </c>
      <c r="J218" s="1">
        <v>4.4444444444444446</v>
      </c>
    </row>
    <row r="219" spans="3:10" x14ac:dyDescent="0.3">
      <c r="C219" s="4" t="s">
        <v>281</v>
      </c>
      <c r="D219">
        <v>34</v>
      </c>
      <c r="F219" s="4" t="s">
        <v>281</v>
      </c>
      <c r="G219" s="1">
        <v>34.794117647058826</v>
      </c>
      <c r="I219" s="4" t="s">
        <v>282</v>
      </c>
      <c r="J219" s="1">
        <v>6.2727272727272725</v>
      </c>
    </row>
    <row r="220" spans="3:10" x14ac:dyDescent="0.3">
      <c r="C220" s="4" t="s">
        <v>282</v>
      </c>
      <c r="D220">
        <v>31</v>
      </c>
      <c r="F220" s="4" t="s">
        <v>282</v>
      </c>
      <c r="G220" s="1">
        <v>37.032258064516128</v>
      </c>
      <c r="I220" s="4" t="s">
        <v>283</v>
      </c>
      <c r="J220" s="1">
        <v>4.5999999999999996</v>
      </c>
    </row>
    <row r="221" spans="3:10" x14ac:dyDescent="0.3">
      <c r="C221" s="4" t="s">
        <v>283</v>
      </c>
      <c r="D221">
        <v>29</v>
      </c>
      <c r="F221" s="4" t="s">
        <v>283</v>
      </c>
      <c r="G221" s="1">
        <v>39.862068965517238</v>
      </c>
      <c r="I221" s="4" t="s">
        <v>284</v>
      </c>
      <c r="J221" s="1">
        <v>5.5</v>
      </c>
    </row>
    <row r="222" spans="3:10" x14ac:dyDescent="0.3">
      <c r="C222" s="4" t="s">
        <v>284</v>
      </c>
      <c r="D222">
        <v>42</v>
      </c>
      <c r="F222" s="4" t="s">
        <v>284</v>
      </c>
      <c r="G222" s="1">
        <v>36.166666666666664</v>
      </c>
      <c r="I222" s="4" t="s">
        <v>285</v>
      </c>
      <c r="J222" s="1">
        <v>5.4285714285714288</v>
      </c>
    </row>
    <row r="223" spans="3:10" x14ac:dyDescent="0.3">
      <c r="C223" s="4" t="s">
        <v>285</v>
      </c>
      <c r="D223">
        <v>22</v>
      </c>
      <c r="F223" s="4" t="s">
        <v>285</v>
      </c>
      <c r="G223" s="1">
        <v>30.40909090909091</v>
      </c>
      <c r="I223" s="4" t="s">
        <v>286</v>
      </c>
      <c r="J223" s="1">
        <v>9.5</v>
      </c>
    </row>
    <row r="224" spans="3:10" x14ac:dyDescent="0.3">
      <c r="C224" s="4" t="s">
        <v>286</v>
      </c>
      <c r="D224">
        <v>28</v>
      </c>
      <c r="F224" s="4" t="s">
        <v>286</v>
      </c>
      <c r="G224" s="1">
        <v>40</v>
      </c>
      <c r="I224" s="4" t="s">
        <v>287</v>
      </c>
      <c r="J224" s="1">
        <v>2.1666666666666665</v>
      </c>
    </row>
    <row r="225" spans="3:10" x14ac:dyDescent="0.3">
      <c r="C225" s="4" t="s">
        <v>287</v>
      </c>
      <c r="D225">
        <v>31</v>
      </c>
      <c r="F225" s="4" t="s">
        <v>287</v>
      </c>
      <c r="G225" s="1">
        <v>31.677419354838708</v>
      </c>
      <c r="I225" s="4" t="s">
        <v>288</v>
      </c>
      <c r="J225" s="1">
        <v>5.333333333333333</v>
      </c>
    </row>
    <row r="226" spans="3:10" x14ac:dyDescent="0.3">
      <c r="C226" s="4" t="s">
        <v>288</v>
      </c>
      <c r="D226">
        <v>24</v>
      </c>
      <c r="F226" s="4" t="s">
        <v>288</v>
      </c>
      <c r="G226" s="1">
        <v>29.791666666666668</v>
      </c>
      <c r="I226" s="4" t="s">
        <v>289</v>
      </c>
      <c r="J226" s="1">
        <v>4.1428571428571432</v>
      </c>
    </row>
    <row r="227" spans="3:10" x14ac:dyDescent="0.3">
      <c r="C227" s="4" t="s">
        <v>289</v>
      </c>
      <c r="D227">
        <v>48</v>
      </c>
      <c r="F227" s="4" t="s">
        <v>289</v>
      </c>
      <c r="G227" s="1">
        <v>36.833333333333336</v>
      </c>
      <c r="I227" s="4" t="s">
        <v>290</v>
      </c>
      <c r="J227" s="1">
        <v>2.75</v>
      </c>
    </row>
    <row r="228" spans="3:10" x14ac:dyDescent="0.3">
      <c r="C228" s="4" t="s">
        <v>290</v>
      </c>
      <c r="D228">
        <v>32</v>
      </c>
      <c r="F228" s="4" t="s">
        <v>290</v>
      </c>
      <c r="G228" s="1">
        <v>33.96875</v>
      </c>
      <c r="I228" s="4" t="s">
        <v>291</v>
      </c>
      <c r="J228" s="1">
        <v>4.4000000000000004</v>
      </c>
    </row>
    <row r="229" spans="3:10" x14ac:dyDescent="0.3">
      <c r="C229" s="4" t="s">
        <v>291</v>
      </c>
      <c r="D229">
        <v>37</v>
      </c>
      <c r="F229" s="4" t="s">
        <v>291</v>
      </c>
      <c r="G229" s="1">
        <v>35.864864864864863</v>
      </c>
      <c r="I229" s="4" t="s">
        <v>292</v>
      </c>
      <c r="J229" s="1">
        <v>5.5</v>
      </c>
    </row>
    <row r="230" spans="3:10" x14ac:dyDescent="0.3">
      <c r="C230" s="4" t="s">
        <v>292</v>
      </c>
      <c r="D230">
        <v>30</v>
      </c>
      <c r="F230" s="4" t="s">
        <v>292</v>
      </c>
      <c r="G230" s="1">
        <v>37.833333333333336</v>
      </c>
      <c r="I230" s="4" t="s">
        <v>293</v>
      </c>
      <c r="J230" s="1">
        <v>6.4</v>
      </c>
    </row>
    <row r="231" spans="3:10" x14ac:dyDescent="0.3">
      <c r="C231" s="4" t="s">
        <v>293</v>
      </c>
      <c r="D231">
        <v>27</v>
      </c>
      <c r="F231" s="4" t="s">
        <v>293</v>
      </c>
      <c r="G231" s="1">
        <v>36.296296296296298</v>
      </c>
      <c r="I231" s="4" t="s">
        <v>294</v>
      </c>
      <c r="J231" s="1">
        <v>5.25</v>
      </c>
    </row>
    <row r="232" spans="3:10" x14ac:dyDescent="0.3">
      <c r="C232" s="4" t="s">
        <v>294</v>
      </c>
      <c r="D232">
        <v>32</v>
      </c>
      <c r="F232" s="4" t="s">
        <v>294</v>
      </c>
      <c r="G232" s="1">
        <v>36.375</v>
      </c>
      <c r="I232" s="4" t="s">
        <v>295</v>
      </c>
      <c r="J232" s="1">
        <v>6</v>
      </c>
    </row>
    <row r="233" spans="3:10" x14ac:dyDescent="0.3">
      <c r="C233" s="4" t="s">
        <v>295</v>
      </c>
      <c r="D233">
        <v>33</v>
      </c>
      <c r="F233" s="4" t="s">
        <v>295</v>
      </c>
      <c r="G233" s="1">
        <v>36</v>
      </c>
      <c r="I233" s="4" t="s">
        <v>296</v>
      </c>
      <c r="J233" s="1">
        <v>5.1428571428571432</v>
      </c>
    </row>
    <row r="234" spans="3:10" x14ac:dyDescent="0.3">
      <c r="C234" s="4" t="s">
        <v>296</v>
      </c>
      <c r="D234">
        <v>37</v>
      </c>
      <c r="F234" s="4" t="s">
        <v>296</v>
      </c>
      <c r="G234" s="1">
        <v>37.189189189189186</v>
      </c>
      <c r="I234" s="4" t="s">
        <v>297</v>
      </c>
      <c r="J234" s="1">
        <v>5.25</v>
      </c>
    </row>
    <row r="235" spans="3:10" x14ac:dyDescent="0.3">
      <c r="C235" s="4" t="s">
        <v>297</v>
      </c>
      <c r="D235">
        <v>33</v>
      </c>
      <c r="F235" s="4" t="s">
        <v>297</v>
      </c>
      <c r="G235" s="1">
        <v>34.666666666666664</v>
      </c>
      <c r="I235" s="4" t="s">
        <v>298</v>
      </c>
      <c r="J235" s="1">
        <v>6</v>
      </c>
    </row>
    <row r="236" spans="3:10" x14ac:dyDescent="0.3">
      <c r="C236" s="4" t="s">
        <v>298</v>
      </c>
      <c r="D236">
        <v>35</v>
      </c>
      <c r="F236" s="4" t="s">
        <v>298</v>
      </c>
      <c r="G236" s="1">
        <v>33</v>
      </c>
      <c r="I236" s="4" t="s">
        <v>299</v>
      </c>
      <c r="J236" s="1">
        <v>5.4375</v>
      </c>
    </row>
    <row r="237" spans="3:10" x14ac:dyDescent="0.3">
      <c r="C237" s="4" t="s">
        <v>299</v>
      </c>
      <c r="D237">
        <v>45</v>
      </c>
      <c r="F237" s="4" t="s">
        <v>299</v>
      </c>
      <c r="G237" s="1">
        <v>39.777777777777779</v>
      </c>
      <c r="I237" s="4" t="s">
        <v>300</v>
      </c>
      <c r="J237" s="1">
        <v>4.5</v>
      </c>
    </row>
    <row r="238" spans="3:10" x14ac:dyDescent="0.3">
      <c r="C238" s="4" t="s">
        <v>300</v>
      </c>
      <c r="D238">
        <v>26</v>
      </c>
      <c r="F238" s="4" t="s">
        <v>300</v>
      </c>
      <c r="G238" s="1">
        <v>33.57692307692308</v>
      </c>
      <c r="I238" s="4" t="s">
        <v>301</v>
      </c>
      <c r="J238" s="1">
        <v>4.7142857142857144</v>
      </c>
    </row>
    <row r="239" spans="3:10" x14ac:dyDescent="0.3">
      <c r="C239" s="4" t="s">
        <v>301</v>
      </c>
      <c r="D239">
        <v>24</v>
      </c>
      <c r="F239" s="4" t="s">
        <v>301</v>
      </c>
      <c r="G239" s="1">
        <v>37.208333333333336</v>
      </c>
      <c r="I239" s="4" t="s">
        <v>302</v>
      </c>
      <c r="J239" s="1">
        <v>7.375</v>
      </c>
    </row>
    <row r="240" spans="3:10" x14ac:dyDescent="0.3">
      <c r="C240" s="4" t="s">
        <v>302</v>
      </c>
      <c r="D240">
        <v>34</v>
      </c>
      <c r="F240" s="4" t="s">
        <v>302</v>
      </c>
      <c r="G240" s="1">
        <v>36.882352941176471</v>
      </c>
      <c r="I240" s="4" t="s">
        <v>303</v>
      </c>
      <c r="J240" s="1">
        <v>4.1428571428571432</v>
      </c>
    </row>
    <row r="241" spans="3:10" x14ac:dyDescent="0.3">
      <c r="C241" s="4" t="s">
        <v>303</v>
      </c>
      <c r="D241">
        <v>31</v>
      </c>
      <c r="F241" s="4" t="s">
        <v>303</v>
      </c>
      <c r="G241" s="1">
        <v>37.612903225806448</v>
      </c>
      <c r="I241" s="4" t="s">
        <v>304</v>
      </c>
      <c r="J241" s="1">
        <v>5.2222222222222223</v>
      </c>
    </row>
    <row r="242" spans="3:10" x14ac:dyDescent="0.3">
      <c r="C242" s="4" t="s">
        <v>304</v>
      </c>
      <c r="D242">
        <v>42</v>
      </c>
      <c r="F242" s="4" t="s">
        <v>304</v>
      </c>
      <c r="G242" s="1">
        <v>33.357142857142854</v>
      </c>
      <c r="I242" s="4" t="s">
        <v>305</v>
      </c>
      <c r="J242" s="1">
        <v>3.375</v>
      </c>
    </row>
    <row r="243" spans="3:10" x14ac:dyDescent="0.3">
      <c r="C243" s="4" t="s">
        <v>305</v>
      </c>
      <c r="D243">
        <v>31</v>
      </c>
      <c r="F243" s="4" t="s">
        <v>305</v>
      </c>
      <c r="G243" s="1">
        <v>33.967741935483872</v>
      </c>
      <c r="I243" s="4" t="s">
        <v>306</v>
      </c>
      <c r="J243" s="1">
        <v>6</v>
      </c>
    </row>
    <row r="244" spans="3:10" x14ac:dyDescent="0.3">
      <c r="C244" s="4" t="s">
        <v>306</v>
      </c>
      <c r="D244">
        <v>34</v>
      </c>
      <c r="F244" s="4" t="s">
        <v>306</v>
      </c>
      <c r="G244" s="1">
        <v>36.5</v>
      </c>
      <c r="I244" s="4" t="s">
        <v>307</v>
      </c>
      <c r="J244" s="1">
        <v>5.6</v>
      </c>
    </row>
    <row r="245" spans="3:10" x14ac:dyDescent="0.3">
      <c r="C245" s="4" t="s">
        <v>307</v>
      </c>
      <c r="D245">
        <v>38</v>
      </c>
      <c r="F245" s="4" t="s">
        <v>307</v>
      </c>
      <c r="G245" s="1">
        <v>35.55263157894737</v>
      </c>
      <c r="I245" s="4" t="s">
        <v>308</v>
      </c>
      <c r="J245" s="1">
        <v>3.75</v>
      </c>
    </row>
    <row r="246" spans="3:10" x14ac:dyDescent="0.3">
      <c r="C246" s="4" t="s">
        <v>308</v>
      </c>
      <c r="D246">
        <v>39</v>
      </c>
      <c r="F246" s="4" t="s">
        <v>308</v>
      </c>
      <c r="G246" s="1">
        <v>33.051282051282051</v>
      </c>
      <c r="I246" s="4" t="s">
        <v>309</v>
      </c>
      <c r="J246" s="1">
        <v>4.8571428571428568</v>
      </c>
    </row>
    <row r="247" spans="3:10" x14ac:dyDescent="0.3">
      <c r="C247" s="4" t="s">
        <v>309</v>
      </c>
      <c r="D247">
        <v>25</v>
      </c>
      <c r="F247" s="4" t="s">
        <v>309</v>
      </c>
      <c r="G247" s="1">
        <v>36.68</v>
      </c>
      <c r="I247" s="4" t="s">
        <v>310</v>
      </c>
      <c r="J247" s="1">
        <v>5.5</v>
      </c>
    </row>
    <row r="248" spans="3:10" x14ac:dyDescent="0.3">
      <c r="C248" s="4" t="s">
        <v>310</v>
      </c>
      <c r="D248">
        <v>28</v>
      </c>
      <c r="F248" s="4" t="s">
        <v>310</v>
      </c>
      <c r="G248" s="1">
        <v>37.714285714285715</v>
      </c>
      <c r="I248" s="4" t="s">
        <v>311</v>
      </c>
      <c r="J248" s="1">
        <v>4</v>
      </c>
    </row>
    <row r="249" spans="3:10" x14ac:dyDescent="0.3">
      <c r="C249" s="4" t="s">
        <v>311</v>
      </c>
      <c r="D249">
        <v>35</v>
      </c>
      <c r="F249" s="4" t="s">
        <v>311</v>
      </c>
      <c r="G249" s="1">
        <v>36.057142857142857</v>
      </c>
      <c r="I249" s="4" t="s">
        <v>312</v>
      </c>
      <c r="J249" s="1">
        <v>4.625</v>
      </c>
    </row>
    <row r="250" spans="3:10" x14ac:dyDescent="0.3">
      <c r="C250" s="4" t="s">
        <v>312</v>
      </c>
      <c r="D250">
        <v>35</v>
      </c>
      <c r="F250" s="4" t="s">
        <v>312</v>
      </c>
      <c r="G250" s="1">
        <v>35.828571428571429</v>
      </c>
      <c r="I250" s="4" t="s">
        <v>313</v>
      </c>
      <c r="J250" s="1">
        <v>3.75</v>
      </c>
    </row>
    <row r="251" spans="3:10" x14ac:dyDescent="0.3">
      <c r="C251" s="4" t="s">
        <v>313</v>
      </c>
      <c r="D251">
        <v>37</v>
      </c>
      <c r="F251" s="4" t="s">
        <v>313</v>
      </c>
      <c r="G251" s="1">
        <v>35.297297297297298</v>
      </c>
      <c r="I251" s="4" t="s">
        <v>314</v>
      </c>
      <c r="J251" s="1">
        <v>6.333333333333333</v>
      </c>
    </row>
    <row r="252" spans="3:10" x14ac:dyDescent="0.3">
      <c r="C252" s="4" t="s">
        <v>314</v>
      </c>
      <c r="D252">
        <v>31</v>
      </c>
      <c r="F252" s="4" t="s">
        <v>314</v>
      </c>
      <c r="G252" s="1">
        <v>33</v>
      </c>
      <c r="I252" s="4" t="s">
        <v>315</v>
      </c>
      <c r="J252" s="1">
        <v>6.4</v>
      </c>
    </row>
    <row r="253" spans="3:10" x14ac:dyDescent="0.3">
      <c r="C253" s="4" t="s">
        <v>315</v>
      </c>
      <c r="D253">
        <v>24</v>
      </c>
      <c r="F253" s="4" t="s">
        <v>315</v>
      </c>
      <c r="G253" s="1">
        <v>38.958333333333336</v>
      </c>
      <c r="I253" s="4" t="s">
        <v>316</v>
      </c>
      <c r="J253" s="1">
        <v>5.0999999999999996</v>
      </c>
    </row>
    <row r="254" spans="3:10" x14ac:dyDescent="0.3">
      <c r="C254" s="4" t="s">
        <v>316</v>
      </c>
      <c r="D254">
        <v>28</v>
      </c>
      <c r="F254" s="4" t="s">
        <v>316</v>
      </c>
      <c r="G254" s="1">
        <v>37.428571428571431</v>
      </c>
      <c r="I254" s="4" t="s">
        <v>317</v>
      </c>
      <c r="J254" s="1">
        <v>4.1428571428571432</v>
      </c>
    </row>
    <row r="255" spans="3:10" x14ac:dyDescent="0.3">
      <c r="C255" s="4" t="s">
        <v>317</v>
      </c>
      <c r="D255">
        <v>29</v>
      </c>
      <c r="F255" s="4" t="s">
        <v>317</v>
      </c>
      <c r="G255" s="1">
        <v>36.068965517241381</v>
      </c>
      <c r="I255" s="4" t="s">
        <v>318</v>
      </c>
      <c r="J255" s="1">
        <v>5.8</v>
      </c>
    </row>
    <row r="256" spans="3:10" x14ac:dyDescent="0.3">
      <c r="C256" s="4" t="s">
        <v>318</v>
      </c>
      <c r="D256">
        <v>34</v>
      </c>
      <c r="F256" s="4" t="s">
        <v>318</v>
      </c>
      <c r="G256" s="1">
        <v>32.235294117647058</v>
      </c>
      <c r="I256" s="4" t="s">
        <v>319</v>
      </c>
      <c r="J256" s="1">
        <v>3.8333333333333335</v>
      </c>
    </row>
    <row r="257" spans="3:10" x14ac:dyDescent="0.3">
      <c r="C257" s="4" t="s">
        <v>319</v>
      </c>
      <c r="D257">
        <v>32</v>
      </c>
      <c r="F257" s="4" t="s">
        <v>319</v>
      </c>
      <c r="G257" s="1">
        <v>37.71875</v>
      </c>
      <c r="I257" s="4" t="s">
        <v>320</v>
      </c>
      <c r="J257" s="1">
        <v>4</v>
      </c>
    </row>
    <row r="258" spans="3:10" x14ac:dyDescent="0.3">
      <c r="C258" s="4" t="s">
        <v>320</v>
      </c>
      <c r="D258">
        <v>29</v>
      </c>
      <c r="F258" s="4" t="s">
        <v>320</v>
      </c>
      <c r="G258" s="1">
        <v>31.275862068965516</v>
      </c>
      <c r="I258" s="4" t="s">
        <v>321</v>
      </c>
      <c r="J258" s="1">
        <v>6.833333333333333</v>
      </c>
    </row>
    <row r="259" spans="3:10" x14ac:dyDescent="0.3">
      <c r="C259" s="4" t="s">
        <v>321</v>
      </c>
      <c r="D259">
        <v>21</v>
      </c>
      <c r="F259" s="4" t="s">
        <v>321</v>
      </c>
      <c r="G259" s="1">
        <v>35.857142857142854</v>
      </c>
      <c r="I259" s="4" t="s">
        <v>322</v>
      </c>
      <c r="J259" s="1">
        <v>4.833333333333333</v>
      </c>
    </row>
    <row r="260" spans="3:10" x14ac:dyDescent="0.3">
      <c r="C260" s="4" t="s">
        <v>322</v>
      </c>
      <c r="D260">
        <v>29</v>
      </c>
      <c r="F260" s="4" t="s">
        <v>322</v>
      </c>
      <c r="G260" s="1">
        <v>33.068965517241381</v>
      </c>
      <c r="I260" s="4" t="s">
        <v>323</v>
      </c>
      <c r="J260" s="1">
        <v>4</v>
      </c>
    </row>
    <row r="261" spans="3:10" x14ac:dyDescent="0.3">
      <c r="C261" s="4" t="s">
        <v>323</v>
      </c>
      <c r="D261">
        <v>24</v>
      </c>
      <c r="F261" s="4" t="s">
        <v>323</v>
      </c>
      <c r="G261" s="1">
        <v>34.708333333333336</v>
      </c>
      <c r="I261" s="4" t="s">
        <v>324</v>
      </c>
      <c r="J261" s="1">
        <v>5.7142857142857144</v>
      </c>
    </row>
    <row r="262" spans="3:10" x14ac:dyDescent="0.3">
      <c r="C262" s="4" t="s">
        <v>324</v>
      </c>
      <c r="D262">
        <v>28</v>
      </c>
      <c r="F262" s="4" t="s">
        <v>324</v>
      </c>
      <c r="G262" s="1">
        <v>35.357142857142854</v>
      </c>
      <c r="I262" s="4" t="s">
        <v>325</v>
      </c>
      <c r="J262" s="1">
        <v>4.384615384615385</v>
      </c>
    </row>
    <row r="263" spans="3:10" x14ac:dyDescent="0.3">
      <c r="C263" s="4" t="s">
        <v>325</v>
      </c>
      <c r="D263">
        <v>44</v>
      </c>
      <c r="F263" s="4" t="s">
        <v>325</v>
      </c>
      <c r="G263" s="1">
        <v>37.613636363636367</v>
      </c>
      <c r="I263" s="4" t="s">
        <v>326</v>
      </c>
      <c r="J263" s="1">
        <v>5.5</v>
      </c>
    </row>
    <row r="264" spans="3:10" x14ac:dyDescent="0.3">
      <c r="C264" s="4" t="s">
        <v>326</v>
      </c>
      <c r="D264">
        <v>35</v>
      </c>
      <c r="F264" s="4" t="s">
        <v>326</v>
      </c>
      <c r="G264" s="1">
        <v>33.514285714285712</v>
      </c>
      <c r="I264" s="4" t="s">
        <v>327</v>
      </c>
      <c r="J264" s="1">
        <v>5.8888888888888893</v>
      </c>
    </row>
    <row r="265" spans="3:10" x14ac:dyDescent="0.3">
      <c r="C265" s="4" t="s">
        <v>327</v>
      </c>
      <c r="D265">
        <v>38</v>
      </c>
      <c r="F265" s="4" t="s">
        <v>327</v>
      </c>
      <c r="G265" s="1">
        <v>32.131578947368418</v>
      </c>
      <c r="I265" s="4" t="s">
        <v>328</v>
      </c>
      <c r="J265" s="1">
        <v>6.1818181818181817</v>
      </c>
    </row>
    <row r="266" spans="3:10" x14ac:dyDescent="0.3">
      <c r="C266" s="4" t="s">
        <v>328</v>
      </c>
      <c r="D266">
        <v>28</v>
      </c>
      <c r="F266" s="4" t="s">
        <v>328</v>
      </c>
      <c r="G266" s="1">
        <v>37.571428571428569</v>
      </c>
      <c r="I266" s="4" t="s">
        <v>329</v>
      </c>
      <c r="J266" s="1">
        <v>4</v>
      </c>
    </row>
    <row r="267" spans="3:10" x14ac:dyDescent="0.3">
      <c r="C267" s="4" t="s">
        <v>329</v>
      </c>
      <c r="D267">
        <v>34</v>
      </c>
      <c r="F267" s="4" t="s">
        <v>329</v>
      </c>
      <c r="G267" s="1">
        <v>31.911764705882351</v>
      </c>
      <c r="I267" s="4" t="s">
        <v>330</v>
      </c>
      <c r="J267" s="1">
        <v>4.333333333333333</v>
      </c>
    </row>
    <row r="268" spans="3:10" x14ac:dyDescent="0.3">
      <c r="C268" s="4" t="s">
        <v>330</v>
      </c>
      <c r="D268">
        <v>26</v>
      </c>
      <c r="F268" s="4" t="s">
        <v>330</v>
      </c>
      <c r="G268" s="1">
        <v>34.03846153846154</v>
      </c>
      <c r="I268" s="4" t="s">
        <v>331</v>
      </c>
      <c r="J268" s="1">
        <v>4.8461538461538458</v>
      </c>
    </row>
    <row r="269" spans="3:10" x14ac:dyDescent="0.3">
      <c r="C269" s="4" t="s">
        <v>331</v>
      </c>
      <c r="D269">
        <v>36</v>
      </c>
      <c r="F269" s="4" t="s">
        <v>331</v>
      </c>
      <c r="G269" s="1">
        <v>33.722222222222221</v>
      </c>
      <c r="I269" s="4" t="s">
        <v>332</v>
      </c>
      <c r="J269" s="1">
        <v>3</v>
      </c>
    </row>
    <row r="270" spans="3:10" x14ac:dyDescent="0.3">
      <c r="C270" s="4" t="s">
        <v>332</v>
      </c>
      <c r="D270">
        <v>32</v>
      </c>
      <c r="F270" s="4" t="s">
        <v>332</v>
      </c>
      <c r="G270" s="1">
        <v>31.5625</v>
      </c>
      <c r="I270" s="4" t="s">
        <v>333</v>
      </c>
      <c r="J270" s="1">
        <v>3.8333333333333335</v>
      </c>
    </row>
    <row r="271" spans="3:10" x14ac:dyDescent="0.3">
      <c r="C271" s="4" t="s">
        <v>333</v>
      </c>
      <c r="D271">
        <v>25</v>
      </c>
      <c r="F271" s="4" t="s">
        <v>333</v>
      </c>
      <c r="G271" s="1">
        <v>37.24</v>
      </c>
      <c r="I271" s="4" t="s">
        <v>334</v>
      </c>
      <c r="J271" s="1">
        <v>6.5</v>
      </c>
    </row>
    <row r="272" spans="3:10" x14ac:dyDescent="0.3">
      <c r="C272" s="4" t="s">
        <v>334</v>
      </c>
      <c r="D272">
        <v>30</v>
      </c>
      <c r="F272" s="4" t="s">
        <v>334</v>
      </c>
      <c r="G272" s="1">
        <v>34.9</v>
      </c>
      <c r="I272" s="4" t="s">
        <v>335</v>
      </c>
      <c r="J272" s="1">
        <v>5.7</v>
      </c>
    </row>
    <row r="273" spans="3:10" x14ac:dyDescent="0.3">
      <c r="C273" s="4" t="s">
        <v>335</v>
      </c>
      <c r="D273">
        <v>29</v>
      </c>
      <c r="F273" s="4" t="s">
        <v>335</v>
      </c>
      <c r="G273" s="1">
        <v>35.413793103448278</v>
      </c>
      <c r="I273" s="4" t="s">
        <v>336</v>
      </c>
      <c r="J273" s="1">
        <v>4.5714285714285712</v>
      </c>
    </row>
    <row r="274" spans="3:10" x14ac:dyDescent="0.3">
      <c r="C274" s="4" t="s">
        <v>336</v>
      </c>
      <c r="D274">
        <v>32</v>
      </c>
      <c r="F274" s="4" t="s">
        <v>336</v>
      </c>
      <c r="G274" s="1">
        <v>33.5625</v>
      </c>
      <c r="I274" s="4" t="s">
        <v>337</v>
      </c>
      <c r="J274" s="1">
        <v>3.2727272727272729</v>
      </c>
    </row>
    <row r="275" spans="3:10" x14ac:dyDescent="0.3">
      <c r="C275" s="4" t="s">
        <v>337</v>
      </c>
      <c r="D275">
        <v>29</v>
      </c>
      <c r="F275" s="4" t="s">
        <v>337</v>
      </c>
      <c r="G275" s="1">
        <v>32.586206896551722</v>
      </c>
      <c r="I275" s="4" t="s">
        <v>338</v>
      </c>
      <c r="J275" s="1">
        <v>3</v>
      </c>
    </row>
    <row r="276" spans="3:10" x14ac:dyDescent="0.3">
      <c r="C276" s="4" t="s">
        <v>338</v>
      </c>
      <c r="D276">
        <v>33</v>
      </c>
      <c r="F276" s="4" t="s">
        <v>338</v>
      </c>
      <c r="G276" s="1">
        <v>33.030303030303031</v>
      </c>
      <c r="I276" s="4" t="s">
        <v>339</v>
      </c>
      <c r="J276" s="1">
        <v>7.2857142857142856</v>
      </c>
    </row>
    <row r="277" spans="3:10" x14ac:dyDescent="0.3">
      <c r="C277" s="4" t="s">
        <v>339</v>
      </c>
      <c r="D277">
        <v>32</v>
      </c>
      <c r="F277" s="4" t="s">
        <v>339</v>
      </c>
      <c r="G277" s="1">
        <v>33.25</v>
      </c>
      <c r="I277" s="4" t="s">
        <v>340</v>
      </c>
      <c r="J277" s="1">
        <v>5.7142857142857144</v>
      </c>
    </row>
    <row r="278" spans="3:10" x14ac:dyDescent="0.3">
      <c r="C278" s="4" t="s">
        <v>340</v>
      </c>
      <c r="D278">
        <v>36</v>
      </c>
      <c r="F278" s="4" t="s">
        <v>340</v>
      </c>
      <c r="G278" s="1">
        <v>36.611111111111114</v>
      </c>
      <c r="I278" s="4" t="s">
        <v>341</v>
      </c>
      <c r="J278" s="1">
        <v>4.833333333333333</v>
      </c>
    </row>
    <row r="279" spans="3:10" x14ac:dyDescent="0.3">
      <c r="C279" s="4" t="s">
        <v>341</v>
      </c>
      <c r="D279">
        <v>35</v>
      </c>
      <c r="F279" s="4" t="s">
        <v>341</v>
      </c>
      <c r="G279" s="1">
        <v>36.971428571428568</v>
      </c>
      <c r="I279" s="4" t="s">
        <v>342</v>
      </c>
      <c r="J279" s="1">
        <v>4.5</v>
      </c>
    </row>
    <row r="280" spans="3:10" x14ac:dyDescent="0.3">
      <c r="C280" s="4" t="s">
        <v>342</v>
      </c>
      <c r="D280">
        <v>25</v>
      </c>
      <c r="F280" s="4" t="s">
        <v>342</v>
      </c>
      <c r="G280" s="1">
        <v>35.64</v>
      </c>
      <c r="I280" s="4" t="s">
        <v>343</v>
      </c>
      <c r="J280" s="1">
        <v>3.6666666666666665</v>
      </c>
    </row>
    <row r="281" spans="3:10" x14ac:dyDescent="0.3">
      <c r="C281" s="4" t="s">
        <v>343</v>
      </c>
      <c r="D281">
        <v>33</v>
      </c>
      <c r="F281" s="4" t="s">
        <v>343</v>
      </c>
      <c r="G281" s="1">
        <v>34.454545454545453</v>
      </c>
      <c r="I281" s="4" t="s">
        <v>344</v>
      </c>
      <c r="J281" s="1">
        <v>5.4444444444444446</v>
      </c>
    </row>
    <row r="282" spans="3:10" x14ac:dyDescent="0.3">
      <c r="C282" s="4" t="s">
        <v>344</v>
      </c>
      <c r="D282">
        <v>34</v>
      </c>
      <c r="F282" s="4" t="s">
        <v>344</v>
      </c>
      <c r="G282" s="1">
        <v>37.088235294117645</v>
      </c>
      <c r="I282" s="4" t="s">
        <v>345</v>
      </c>
      <c r="J282" s="1">
        <v>4.2857142857142856</v>
      </c>
    </row>
    <row r="283" spans="3:10" x14ac:dyDescent="0.3">
      <c r="C283" s="4" t="s">
        <v>345</v>
      </c>
      <c r="D283">
        <v>30</v>
      </c>
      <c r="F283" s="4" t="s">
        <v>345</v>
      </c>
      <c r="G283" s="1">
        <v>27.933333333333334</v>
      </c>
      <c r="I283" s="4" t="s">
        <v>346</v>
      </c>
      <c r="J283" s="1">
        <v>3.3333333333333335</v>
      </c>
    </row>
    <row r="284" spans="3:10" x14ac:dyDescent="0.3">
      <c r="C284" s="4" t="s">
        <v>346</v>
      </c>
      <c r="D284">
        <v>26</v>
      </c>
      <c r="F284" s="4" t="s">
        <v>346</v>
      </c>
      <c r="G284" s="1">
        <v>33.884615384615387</v>
      </c>
      <c r="I284" s="4" t="s">
        <v>347</v>
      </c>
      <c r="J284" s="1">
        <v>7.1428571428571432</v>
      </c>
    </row>
    <row r="285" spans="3:10" x14ac:dyDescent="0.3">
      <c r="C285" s="4" t="s">
        <v>347</v>
      </c>
      <c r="D285">
        <v>29</v>
      </c>
      <c r="F285" s="4" t="s">
        <v>347</v>
      </c>
      <c r="G285" s="1">
        <v>33.827586206896555</v>
      </c>
      <c r="I285" s="4" t="s">
        <v>348</v>
      </c>
      <c r="J285" s="1">
        <v>4</v>
      </c>
    </row>
    <row r="286" spans="3:10" x14ac:dyDescent="0.3">
      <c r="C286" s="4" t="s">
        <v>348</v>
      </c>
      <c r="D286">
        <v>26</v>
      </c>
      <c r="F286" s="4" t="s">
        <v>348</v>
      </c>
      <c r="G286" s="1">
        <v>31.576923076923077</v>
      </c>
      <c r="I286" s="4" t="s">
        <v>349</v>
      </c>
      <c r="J286" s="1">
        <v>5</v>
      </c>
    </row>
    <row r="287" spans="3:10" x14ac:dyDescent="0.3">
      <c r="C287" s="4" t="s">
        <v>349</v>
      </c>
      <c r="D287">
        <v>37</v>
      </c>
      <c r="F287" s="4" t="s">
        <v>349</v>
      </c>
      <c r="G287" s="1">
        <v>33.270270270270274</v>
      </c>
      <c r="I287" s="4" t="s">
        <v>350</v>
      </c>
      <c r="J287" s="1">
        <v>8.5</v>
      </c>
    </row>
    <row r="288" spans="3:10" x14ac:dyDescent="0.3">
      <c r="C288" s="4" t="s">
        <v>350</v>
      </c>
      <c r="D288">
        <v>22</v>
      </c>
      <c r="F288" s="4" t="s">
        <v>350</v>
      </c>
      <c r="G288" s="1">
        <v>36.5</v>
      </c>
      <c r="I288" s="4" t="s">
        <v>351</v>
      </c>
      <c r="J288" s="1">
        <v>5.3636363636363633</v>
      </c>
    </row>
    <row r="289" spans="3:10" x14ac:dyDescent="0.3">
      <c r="C289" s="4" t="s">
        <v>351</v>
      </c>
      <c r="D289">
        <v>43</v>
      </c>
      <c r="F289" s="4" t="s">
        <v>351</v>
      </c>
      <c r="G289" s="1">
        <v>34.093023255813954</v>
      </c>
      <c r="I289" s="4" t="s">
        <v>352</v>
      </c>
      <c r="J289" s="1">
        <v>3.2222222222222223</v>
      </c>
    </row>
    <row r="290" spans="3:10" x14ac:dyDescent="0.3">
      <c r="C290" s="4" t="s">
        <v>352</v>
      </c>
      <c r="D290">
        <v>37</v>
      </c>
      <c r="F290" s="4" t="s">
        <v>352</v>
      </c>
      <c r="G290" s="1">
        <v>39.216216216216218</v>
      </c>
      <c r="I290" s="4" t="s">
        <v>353</v>
      </c>
      <c r="J290" s="1">
        <v>3.8888888888888888</v>
      </c>
    </row>
    <row r="291" spans="3:10" x14ac:dyDescent="0.3">
      <c r="C291" s="4" t="s">
        <v>353</v>
      </c>
      <c r="D291">
        <v>34</v>
      </c>
      <c r="F291" s="4" t="s">
        <v>353</v>
      </c>
      <c r="G291" s="1">
        <v>35.676470588235297</v>
      </c>
      <c r="I291" s="4" t="s">
        <v>354</v>
      </c>
      <c r="J291" s="1">
        <v>5.4615384615384617</v>
      </c>
    </row>
    <row r="292" spans="3:10" x14ac:dyDescent="0.3">
      <c r="C292" s="4" t="s">
        <v>354</v>
      </c>
      <c r="D292">
        <v>31</v>
      </c>
      <c r="F292" s="4" t="s">
        <v>354</v>
      </c>
      <c r="G292" s="1">
        <v>34.354838709677416</v>
      </c>
      <c r="I292" s="4" t="s">
        <v>355</v>
      </c>
      <c r="J292" s="1">
        <v>5.9090909090909092</v>
      </c>
    </row>
    <row r="293" spans="3:10" x14ac:dyDescent="0.3">
      <c r="C293" s="4" t="s">
        <v>355</v>
      </c>
      <c r="D293">
        <v>25</v>
      </c>
      <c r="F293" s="4" t="s">
        <v>355</v>
      </c>
      <c r="G293" s="1">
        <v>38.56</v>
      </c>
      <c r="I293" s="4" t="s">
        <v>356</v>
      </c>
      <c r="J293" s="1">
        <v>6.625</v>
      </c>
    </row>
    <row r="294" spans="3:10" x14ac:dyDescent="0.3">
      <c r="C294" s="4" t="s">
        <v>356</v>
      </c>
      <c r="D294">
        <v>26</v>
      </c>
      <c r="F294" s="4" t="s">
        <v>356</v>
      </c>
      <c r="G294" s="1">
        <v>28.76923076923077</v>
      </c>
      <c r="I294" s="4" t="s">
        <v>357</v>
      </c>
      <c r="J294" s="1">
        <v>6.4545454545454541</v>
      </c>
    </row>
    <row r="295" spans="3:10" x14ac:dyDescent="0.3">
      <c r="C295" s="4" t="s">
        <v>357</v>
      </c>
      <c r="D295">
        <v>28</v>
      </c>
      <c r="F295" s="4" t="s">
        <v>357</v>
      </c>
      <c r="G295" s="1">
        <v>33.571428571428569</v>
      </c>
      <c r="I295" s="4" t="s">
        <v>358</v>
      </c>
      <c r="J295" s="1">
        <v>5.166666666666667</v>
      </c>
    </row>
    <row r="296" spans="3:10" x14ac:dyDescent="0.3">
      <c r="C296" s="4" t="s">
        <v>358</v>
      </c>
      <c r="D296">
        <v>43</v>
      </c>
      <c r="F296" s="4" t="s">
        <v>358</v>
      </c>
      <c r="G296" s="1">
        <v>33.534883720930232</v>
      </c>
      <c r="I296" s="4" t="s">
        <v>359</v>
      </c>
      <c r="J296" s="1">
        <v>6.7</v>
      </c>
    </row>
    <row r="297" spans="3:10" x14ac:dyDescent="0.3">
      <c r="C297" s="4" t="s">
        <v>359</v>
      </c>
      <c r="D297">
        <v>33</v>
      </c>
      <c r="F297" s="4" t="s">
        <v>359</v>
      </c>
      <c r="G297" s="1">
        <v>39.515151515151516</v>
      </c>
      <c r="I297" s="4" t="s">
        <v>360</v>
      </c>
      <c r="J297" s="1">
        <v>3.75</v>
      </c>
    </row>
    <row r="298" spans="3:10" x14ac:dyDescent="0.3">
      <c r="C298" s="4" t="s">
        <v>360</v>
      </c>
      <c r="D298">
        <v>42</v>
      </c>
      <c r="F298" s="4" t="s">
        <v>360</v>
      </c>
      <c r="G298" s="1">
        <v>32.714285714285715</v>
      </c>
      <c r="I298" s="4" t="s">
        <v>361</v>
      </c>
      <c r="J298" s="1">
        <v>4.8461538461538458</v>
      </c>
    </row>
    <row r="299" spans="3:10" x14ac:dyDescent="0.3">
      <c r="C299" s="4" t="s">
        <v>361</v>
      </c>
      <c r="D299">
        <v>35</v>
      </c>
      <c r="F299" s="4" t="s">
        <v>361</v>
      </c>
      <c r="G299" s="1">
        <v>30.62857142857143</v>
      </c>
      <c r="I299" s="4" t="s">
        <v>362</v>
      </c>
      <c r="J299" s="1">
        <v>4.6363636363636367</v>
      </c>
    </row>
    <row r="300" spans="3:10" x14ac:dyDescent="0.3">
      <c r="C300" s="4" t="s">
        <v>362</v>
      </c>
      <c r="D300">
        <v>35</v>
      </c>
      <c r="F300" s="4" t="s">
        <v>362</v>
      </c>
      <c r="G300" s="1">
        <v>36.914285714285711</v>
      </c>
      <c r="I300" s="4" t="s">
        <v>363</v>
      </c>
      <c r="J300" s="1">
        <v>5.1111111111111107</v>
      </c>
    </row>
    <row r="301" spans="3:10" x14ac:dyDescent="0.3">
      <c r="C301" s="4" t="s">
        <v>363</v>
      </c>
      <c r="D301">
        <v>31</v>
      </c>
      <c r="F301" s="4" t="s">
        <v>363</v>
      </c>
      <c r="G301" s="1">
        <v>41.064516129032256</v>
      </c>
      <c r="I301" s="4" t="s">
        <v>364</v>
      </c>
      <c r="J301" s="1">
        <v>7.375</v>
      </c>
    </row>
    <row r="302" spans="3:10" x14ac:dyDescent="0.3">
      <c r="C302" s="4" t="s">
        <v>364</v>
      </c>
      <c r="D302">
        <v>31</v>
      </c>
      <c r="F302" s="4" t="s">
        <v>364</v>
      </c>
      <c r="G302" s="1">
        <v>32.58064516129032</v>
      </c>
      <c r="I302" s="4" t="s">
        <v>365</v>
      </c>
      <c r="J302" s="1">
        <v>4.4444444444444446</v>
      </c>
    </row>
    <row r="303" spans="3:10" x14ac:dyDescent="0.3">
      <c r="C303" s="4" t="s">
        <v>365</v>
      </c>
      <c r="D303">
        <v>33</v>
      </c>
      <c r="F303" s="4" t="s">
        <v>365</v>
      </c>
      <c r="G303" s="1">
        <v>31.393939393939394</v>
      </c>
      <c r="I303" s="4" t="s">
        <v>366</v>
      </c>
      <c r="J303" s="1">
        <v>3.8888888888888888</v>
      </c>
    </row>
    <row r="304" spans="3:10" x14ac:dyDescent="0.3">
      <c r="C304" s="4" t="s">
        <v>366</v>
      </c>
      <c r="D304">
        <v>33</v>
      </c>
      <c r="F304" s="4" t="s">
        <v>366</v>
      </c>
      <c r="G304" s="1">
        <v>29.363636363636363</v>
      </c>
      <c r="I304" s="4" t="s">
        <v>367</v>
      </c>
      <c r="J304" s="1">
        <v>5.8888888888888893</v>
      </c>
    </row>
    <row r="305" spans="3:10" x14ac:dyDescent="0.3">
      <c r="C305" s="4" t="s">
        <v>367</v>
      </c>
      <c r="D305">
        <v>20</v>
      </c>
      <c r="F305" s="4" t="s">
        <v>367</v>
      </c>
      <c r="G305" s="1">
        <v>35.4</v>
      </c>
      <c r="I305" s="4" t="s">
        <v>368</v>
      </c>
      <c r="J305" s="1">
        <v>4</v>
      </c>
    </row>
    <row r="306" spans="3:10" x14ac:dyDescent="0.3">
      <c r="C306" s="4" t="s">
        <v>368</v>
      </c>
      <c r="D306">
        <v>29</v>
      </c>
      <c r="F306" s="4" t="s">
        <v>368</v>
      </c>
      <c r="G306" s="1">
        <v>35.655172413793103</v>
      </c>
      <c r="I306" s="4" t="s">
        <v>369</v>
      </c>
      <c r="J306" s="1">
        <v>3.75</v>
      </c>
    </row>
    <row r="307" spans="3:10" x14ac:dyDescent="0.3">
      <c r="C307" s="4" t="s">
        <v>369</v>
      </c>
      <c r="D307">
        <v>27</v>
      </c>
      <c r="F307" s="4" t="s">
        <v>369</v>
      </c>
      <c r="G307" s="1">
        <v>40.481481481481481</v>
      </c>
      <c r="I307" s="4" t="s">
        <v>370</v>
      </c>
      <c r="J307" s="1">
        <v>4.625</v>
      </c>
    </row>
    <row r="308" spans="3:10" x14ac:dyDescent="0.3">
      <c r="C308" s="4" t="s">
        <v>370</v>
      </c>
      <c r="D308">
        <v>31</v>
      </c>
      <c r="F308" s="4" t="s">
        <v>370</v>
      </c>
      <c r="G308" s="1">
        <v>31.193548387096776</v>
      </c>
      <c r="I308" s="4" t="s">
        <v>371</v>
      </c>
      <c r="J308" s="1">
        <v>5</v>
      </c>
    </row>
    <row r="309" spans="3:10" x14ac:dyDescent="0.3">
      <c r="C309" s="4" t="s">
        <v>371</v>
      </c>
      <c r="D309">
        <v>20</v>
      </c>
      <c r="F309" s="4" t="s">
        <v>371</v>
      </c>
      <c r="G309" s="1">
        <v>35.049999999999997</v>
      </c>
      <c r="I309" s="4" t="s">
        <v>158</v>
      </c>
      <c r="J309" s="1">
        <v>4.666666666666667</v>
      </c>
    </row>
    <row r="310" spans="3:10" x14ac:dyDescent="0.3">
      <c r="C310" s="4" t="s">
        <v>158</v>
      </c>
      <c r="D310">
        <v>17</v>
      </c>
      <c r="F310" s="4" t="s">
        <v>158</v>
      </c>
      <c r="G310" s="1">
        <v>35.117647058823529</v>
      </c>
      <c r="I310" s="4" t="s">
        <v>159</v>
      </c>
      <c r="J310" s="1">
        <v>4.666666666666667</v>
      </c>
    </row>
    <row r="311" spans="3:10" x14ac:dyDescent="0.3">
      <c r="C311" s="4" t="s">
        <v>159</v>
      </c>
      <c r="D311">
        <v>12</v>
      </c>
      <c r="F311" s="4" t="s">
        <v>159</v>
      </c>
      <c r="G311" s="1">
        <v>28.916666666666668</v>
      </c>
      <c r="I311" s="4" t="s">
        <v>160</v>
      </c>
      <c r="J311" s="1">
        <v>5.4</v>
      </c>
    </row>
    <row r="312" spans="3:10" x14ac:dyDescent="0.3">
      <c r="C312" s="4" t="s">
        <v>160</v>
      </c>
      <c r="D312">
        <v>14</v>
      </c>
      <c r="F312" s="4" t="s">
        <v>160</v>
      </c>
      <c r="G312" s="1">
        <v>34.357142857142854</v>
      </c>
      <c r="I312" s="4" t="s">
        <v>161</v>
      </c>
      <c r="J312" s="1">
        <v>5.2</v>
      </c>
    </row>
    <row r="313" spans="3:10" x14ac:dyDescent="0.3">
      <c r="C313" s="4" t="s">
        <v>161</v>
      </c>
      <c r="D313">
        <v>17</v>
      </c>
      <c r="F313" s="4" t="s">
        <v>161</v>
      </c>
      <c r="G313" s="1">
        <v>29.705882352941178</v>
      </c>
      <c r="I313" s="4" t="s">
        <v>162</v>
      </c>
      <c r="J313" s="1">
        <v>2.4285714285714284</v>
      </c>
    </row>
    <row r="314" spans="3:10" x14ac:dyDescent="0.3">
      <c r="C314" s="4" t="s">
        <v>162</v>
      </c>
      <c r="D314">
        <v>17</v>
      </c>
      <c r="F314" s="4" t="s">
        <v>162</v>
      </c>
      <c r="G314" s="1">
        <v>33.176470588235297</v>
      </c>
      <c r="I314" s="4" t="s">
        <v>163</v>
      </c>
      <c r="J314" s="1">
        <v>4.8</v>
      </c>
    </row>
    <row r="315" spans="3:10" x14ac:dyDescent="0.3">
      <c r="C315" s="4" t="s">
        <v>163</v>
      </c>
      <c r="D315">
        <v>16</v>
      </c>
      <c r="F315" s="4" t="s">
        <v>163</v>
      </c>
      <c r="G315" s="1">
        <v>39.8125</v>
      </c>
      <c r="I315" s="4" t="s">
        <v>164</v>
      </c>
      <c r="J315" s="1">
        <v>6.5714285714285712</v>
      </c>
    </row>
    <row r="316" spans="3:10" x14ac:dyDescent="0.3">
      <c r="C316" s="4" t="s">
        <v>164</v>
      </c>
      <c r="D316">
        <v>19</v>
      </c>
      <c r="F316" s="4" t="s">
        <v>164</v>
      </c>
      <c r="G316" s="1">
        <v>36.578947368421055</v>
      </c>
      <c r="I316" s="4" t="s">
        <v>165</v>
      </c>
      <c r="J316" s="1">
        <v>3</v>
      </c>
    </row>
    <row r="317" spans="3:10" x14ac:dyDescent="0.3">
      <c r="C317" s="4" t="s">
        <v>165</v>
      </c>
      <c r="D317">
        <v>14</v>
      </c>
      <c r="F317" s="4" t="s">
        <v>165</v>
      </c>
      <c r="G317" s="1">
        <v>34.5</v>
      </c>
      <c r="I317" s="4" t="s">
        <v>166</v>
      </c>
      <c r="J317" s="1">
        <v>4.5999999999999996</v>
      </c>
    </row>
    <row r="318" spans="3:10" x14ac:dyDescent="0.3">
      <c r="C318" s="4" t="s">
        <v>166</v>
      </c>
      <c r="D318">
        <v>17</v>
      </c>
      <c r="F318" s="4" t="s">
        <v>166</v>
      </c>
      <c r="G318" s="1">
        <v>39.764705882352942</v>
      </c>
      <c r="I318" s="4" t="s">
        <v>167</v>
      </c>
      <c r="J318" s="1">
        <v>3.875</v>
      </c>
    </row>
    <row r="319" spans="3:10" x14ac:dyDescent="0.3">
      <c r="C319" s="4" t="s">
        <v>167</v>
      </c>
      <c r="D319">
        <v>13</v>
      </c>
      <c r="F319" s="4" t="s">
        <v>167</v>
      </c>
      <c r="G319" s="1">
        <v>35.230769230769234</v>
      </c>
      <c r="I319" s="4" t="s">
        <v>168</v>
      </c>
      <c r="J319" s="1">
        <v>7.25</v>
      </c>
    </row>
    <row r="320" spans="3:10" x14ac:dyDescent="0.3">
      <c r="C320" s="4" t="s">
        <v>168</v>
      </c>
      <c r="D320">
        <v>12</v>
      </c>
      <c r="F320" s="4" t="s">
        <v>168</v>
      </c>
      <c r="G320" s="1">
        <v>41.5</v>
      </c>
      <c r="I320" s="4" t="s">
        <v>169</v>
      </c>
      <c r="J320" s="1">
        <v>3</v>
      </c>
    </row>
    <row r="321" spans="3:10" x14ac:dyDescent="0.3">
      <c r="C321" s="4" t="s">
        <v>169</v>
      </c>
      <c r="D321">
        <v>16</v>
      </c>
      <c r="F321" s="4" t="s">
        <v>169</v>
      </c>
      <c r="G321" s="1">
        <v>38.0625</v>
      </c>
      <c r="I321" s="4" t="s">
        <v>170</v>
      </c>
      <c r="J321" s="1">
        <v>8</v>
      </c>
    </row>
    <row r="322" spans="3:10" x14ac:dyDescent="0.3">
      <c r="C322" s="4" t="s">
        <v>170</v>
      </c>
      <c r="D322">
        <v>9</v>
      </c>
      <c r="F322" s="4" t="s">
        <v>170</v>
      </c>
      <c r="G322" s="1">
        <v>29.222222222222221</v>
      </c>
      <c r="I322" s="4" t="s">
        <v>171</v>
      </c>
      <c r="J322" s="1">
        <v>6</v>
      </c>
    </row>
    <row r="323" spans="3:10" x14ac:dyDescent="0.3">
      <c r="C323" s="4" t="s">
        <v>171</v>
      </c>
      <c r="D323">
        <v>17</v>
      </c>
      <c r="F323" s="4" t="s">
        <v>171</v>
      </c>
      <c r="G323" s="1">
        <v>31</v>
      </c>
      <c r="I323" s="4" t="s">
        <v>172</v>
      </c>
      <c r="J323" s="1">
        <v>3.6666666666666665</v>
      </c>
    </row>
    <row r="324" spans="3:10" x14ac:dyDescent="0.3">
      <c r="C324" s="4" t="s">
        <v>172</v>
      </c>
      <c r="D324">
        <v>16</v>
      </c>
      <c r="F324" s="4" t="s">
        <v>172</v>
      </c>
      <c r="G324" s="1">
        <v>37.3125</v>
      </c>
      <c r="I324" s="4" t="s">
        <v>173</v>
      </c>
      <c r="J324" s="1">
        <v>5.333333333333333</v>
      </c>
    </row>
    <row r="325" spans="3:10" x14ac:dyDescent="0.3">
      <c r="C325" s="4" t="s">
        <v>173</v>
      </c>
      <c r="D325">
        <v>17</v>
      </c>
      <c r="F325" s="4" t="s">
        <v>173</v>
      </c>
      <c r="G325" s="1">
        <v>35.647058823529413</v>
      </c>
      <c r="I325" s="4" t="s">
        <v>174</v>
      </c>
      <c r="J325" s="1">
        <v>6.1111111111111107</v>
      </c>
    </row>
    <row r="326" spans="3:10" x14ac:dyDescent="0.3">
      <c r="C326" s="4" t="s">
        <v>174</v>
      </c>
      <c r="D326">
        <v>21</v>
      </c>
      <c r="F326" s="4" t="s">
        <v>174</v>
      </c>
      <c r="G326" s="1">
        <v>36.476190476190474</v>
      </c>
      <c r="I326" s="4" t="s">
        <v>175</v>
      </c>
      <c r="J326" s="1">
        <v>6.5</v>
      </c>
    </row>
    <row r="327" spans="3:10" x14ac:dyDescent="0.3">
      <c r="C327" s="4" t="s">
        <v>175</v>
      </c>
      <c r="D327">
        <v>15</v>
      </c>
      <c r="F327" s="4" t="s">
        <v>175</v>
      </c>
      <c r="G327" s="1">
        <v>40.799999999999997</v>
      </c>
      <c r="I327" s="4" t="s">
        <v>176</v>
      </c>
      <c r="J327" s="1">
        <v>5</v>
      </c>
    </row>
    <row r="328" spans="3:10" x14ac:dyDescent="0.3">
      <c r="C328" s="4" t="s">
        <v>176</v>
      </c>
      <c r="D328">
        <v>22</v>
      </c>
      <c r="F328" s="4" t="s">
        <v>176</v>
      </c>
      <c r="G328" s="1">
        <v>30.318181818181817</v>
      </c>
      <c r="I328" s="4" t="s">
        <v>177</v>
      </c>
      <c r="J328" s="1">
        <v>5.8</v>
      </c>
    </row>
    <row r="329" spans="3:10" x14ac:dyDescent="0.3">
      <c r="C329" s="4" t="s">
        <v>177</v>
      </c>
      <c r="D329">
        <v>14</v>
      </c>
      <c r="F329" s="4" t="s">
        <v>177</v>
      </c>
      <c r="G329" s="1">
        <v>35.714285714285715</v>
      </c>
      <c r="I329" s="4" t="s">
        <v>178</v>
      </c>
      <c r="J329" s="1">
        <v>6</v>
      </c>
    </row>
    <row r="330" spans="3:10" x14ac:dyDescent="0.3">
      <c r="C330" s="4" t="s">
        <v>178</v>
      </c>
      <c r="D330">
        <v>13</v>
      </c>
      <c r="F330" s="4" t="s">
        <v>178</v>
      </c>
      <c r="G330" s="1">
        <v>33.53846153846154</v>
      </c>
      <c r="I330" s="4" t="s">
        <v>179</v>
      </c>
      <c r="J330" s="1">
        <v>8</v>
      </c>
    </row>
    <row r="331" spans="3:10" x14ac:dyDescent="0.3">
      <c r="C331" s="4" t="s">
        <v>179</v>
      </c>
      <c r="D331">
        <v>10</v>
      </c>
      <c r="F331" s="4" t="s">
        <v>179</v>
      </c>
      <c r="G331" s="1">
        <v>37.5</v>
      </c>
      <c r="I331" s="4" t="s">
        <v>180</v>
      </c>
      <c r="J331" s="1">
        <v>7</v>
      </c>
    </row>
    <row r="332" spans="3:10" x14ac:dyDescent="0.3">
      <c r="C332" s="4" t="s">
        <v>180</v>
      </c>
      <c r="D332">
        <v>17</v>
      </c>
      <c r="F332" s="4" t="s">
        <v>180</v>
      </c>
      <c r="G332" s="1">
        <v>38.058823529411768</v>
      </c>
      <c r="I332" s="4" t="s">
        <v>181</v>
      </c>
      <c r="J332" s="1">
        <v>3.75</v>
      </c>
    </row>
    <row r="333" spans="3:10" x14ac:dyDescent="0.3">
      <c r="C333" s="4" t="s">
        <v>181</v>
      </c>
      <c r="D333">
        <v>17</v>
      </c>
      <c r="F333" s="4" t="s">
        <v>181</v>
      </c>
      <c r="G333" s="1">
        <v>28.117647058823529</v>
      </c>
      <c r="I333" s="4" t="s">
        <v>182</v>
      </c>
      <c r="J333" s="1">
        <v>1</v>
      </c>
    </row>
    <row r="334" spans="3:10" x14ac:dyDescent="0.3">
      <c r="C334" s="4" t="s">
        <v>182</v>
      </c>
      <c r="D334">
        <v>13</v>
      </c>
      <c r="F334" s="4" t="s">
        <v>182</v>
      </c>
      <c r="G334" s="1">
        <v>31.846153846153847</v>
      </c>
      <c r="I334" s="4" t="s">
        <v>183</v>
      </c>
      <c r="J334" s="1">
        <v>9</v>
      </c>
    </row>
    <row r="335" spans="3:10" x14ac:dyDescent="0.3">
      <c r="C335" s="4" t="s">
        <v>183</v>
      </c>
      <c r="D335">
        <v>11</v>
      </c>
      <c r="F335" s="4" t="s">
        <v>183</v>
      </c>
      <c r="G335" s="1">
        <v>43.636363636363633</v>
      </c>
      <c r="I335" s="4" t="s">
        <v>184</v>
      </c>
      <c r="J335" s="1">
        <v>5.8</v>
      </c>
    </row>
    <row r="336" spans="3:10" x14ac:dyDescent="0.3">
      <c r="C336" s="4" t="s">
        <v>184</v>
      </c>
      <c r="D336">
        <v>19</v>
      </c>
      <c r="F336" s="4" t="s">
        <v>184</v>
      </c>
      <c r="G336" s="1">
        <v>38.842105263157897</v>
      </c>
      <c r="I336" s="4" t="s">
        <v>185</v>
      </c>
      <c r="J336" s="1">
        <v>4</v>
      </c>
    </row>
    <row r="337" spans="3:10" x14ac:dyDescent="0.3">
      <c r="C337" s="4" t="s">
        <v>185</v>
      </c>
      <c r="D337">
        <v>16</v>
      </c>
      <c r="F337" s="4" t="s">
        <v>185</v>
      </c>
      <c r="G337" s="1">
        <v>29.5625</v>
      </c>
      <c r="I337" s="4" t="s">
        <v>186</v>
      </c>
      <c r="J337" s="1">
        <v>6.4</v>
      </c>
    </row>
    <row r="338" spans="3:10" x14ac:dyDescent="0.3">
      <c r="C338" s="4" t="s">
        <v>186</v>
      </c>
      <c r="D338">
        <v>15</v>
      </c>
      <c r="F338" s="4" t="s">
        <v>186</v>
      </c>
      <c r="G338" s="1">
        <v>37.466666666666669</v>
      </c>
      <c r="I338" s="4" t="s">
        <v>187</v>
      </c>
      <c r="J338" s="1">
        <v>5</v>
      </c>
    </row>
    <row r="339" spans="3:10" x14ac:dyDescent="0.3">
      <c r="C339" s="4" t="s">
        <v>187</v>
      </c>
      <c r="D339">
        <v>18</v>
      </c>
      <c r="F339" s="4" t="s">
        <v>187</v>
      </c>
      <c r="G339" s="1">
        <v>35.277777777777779</v>
      </c>
      <c r="I339" s="4" t="s">
        <v>188</v>
      </c>
      <c r="J339" s="1">
        <v>9</v>
      </c>
    </row>
    <row r="340" spans="3:10" x14ac:dyDescent="0.3">
      <c r="C340" s="4" t="s">
        <v>188</v>
      </c>
      <c r="D340">
        <v>16</v>
      </c>
      <c r="F340" s="4" t="s">
        <v>188</v>
      </c>
      <c r="G340" s="1">
        <v>34.5</v>
      </c>
      <c r="I340" s="4" t="s">
        <v>189</v>
      </c>
      <c r="J340" s="1">
        <v>4.4000000000000004</v>
      </c>
    </row>
    <row r="341" spans="3:10" x14ac:dyDescent="0.3">
      <c r="C341" s="4" t="s">
        <v>189</v>
      </c>
      <c r="D341">
        <v>15</v>
      </c>
      <c r="F341" s="4" t="s">
        <v>189</v>
      </c>
      <c r="G341" s="1">
        <v>35.4</v>
      </c>
      <c r="I341" s="4" t="s">
        <v>190</v>
      </c>
      <c r="J341" s="1">
        <v>4</v>
      </c>
    </row>
    <row r="342" spans="3:10" x14ac:dyDescent="0.3">
      <c r="C342" s="4" t="s">
        <v>190</v>
      </c>
      <c r="D342">
        <v>14</v>
      </c>
      <c r="F342" s="4" t="s">
        <v>190</v>
      </c>
      <c r="G342" s="1">
        <v>34.928571428571431</v>
      </c>
      <c r="I342" s="4" t="s">
        <v>191</v>
      </c>
      <c r="J342" s="1">
        <v>0</v>
      </c>
    </row>
    <row r="343" spans="3:10" x14ac:dyDescent="0.3">
      <c r="C343" s="4" t="s">
        <v>191</v>
      </c>
      <c r="D343">
        <v>12</v>
      </c>
      <c r="F343" s="4" t="s">
        <v>191</v>
      </c>
      <c r="G343" s="1">
        <v>44.25</v>
      </c>
      <c r="I343" s="4" t="s">
        <v>192</v>
      </c>
      <c r="J343" s="1">
        <v>2.875</v>
      </c>
    </row>
    <row r="344" spans="3:10" x14ac:dyDescent="0.3">
      <c r="C344" s="4" t="s">
        <v>192</v>
      </c>
      <c r="D344">
        <v>16</v>
      </c>
      <c r="F344" s="4" t="s">
        <v>192</v>
      </c>
      <c r="G344" s="1">
        <v>40.1875</v>
      </c>
      <c r="I344" s="4" t="s">
        <v>193</v>
      </c>
      <c r="J344" s="1">
        <v>5.25</v>
      </c>
    </row>
    <row r="345" spans="3:10" x14ac:dyDescent="0.3">
      <c r="C345" s="4" t="s">
        <v>193</v>
      </c>
      <c r="D345">
        <v>11</v>
      </c>
      <c r="F345" s="4" t="s">
        <v>193</v>
      </c>
      <c r="G345" s="1">
        <v>35</v>
      </c>
      <c r="I345" s="4" t="s">
        <v>195</v>
      </c>
      <c r="J345" s="1">
        <v>6</v>
      </c>
    </row>
    <row r="346" spans="3:10" x14ac:dyDescent="0.3">
      <c r="C346" s="4" t="s">
        <v>194</v>
      </c>
      <c r="D346">
        <v>7</v>
      </c>
      <c r="F346" s="4" t="s">
        <v>194</v>
      </c>
      <c r="G346" s="1">
        <v>43.142857142857146</v>
      </c>
      <c r="I346" s="4" t="s">
        <v>196</v>
      </c>
      <c r="J346" s="1">
        <v>6.5</v>
      </c>
    </row>
    <row r="347" spans="3:10" x14ac:dyDescent="0.3">
      <c r="C347" s="4" t="s">
        <v>195</v>
      </c>
      <c r="D347">
        <v>16</v>
      </c>
      <c r="F347" s="4" t="s">
        <v>195</v>
      </c>
      <c r="G347" s="1">
        <v>43.6875</v>
      </c>
      <c r="I347" s="4" t="s">
        <v>197</v>
      </c>
      <c r="J347" s="1">
        <v>5.5</v>
      </c>
    </row>
    <row r="348" spans="3:10" x14ac:dyDescent="0.3">
      <c r="C348" s="4" t="s">
        <v>196</v>
      </c>
      <c r="D348">
        <v>7</v>
      </c>
      <c r="F348" s="4" t="s">
        <v>196</v>
      </c>
      <c r="G348" s="1">
        <v>33.857142857142854</v>
      </c>
      <c r="I348" s="4" t="s">
        <v>198</v>
      </c>
      <c r="J348" s="1">
        <v>5.666666666666667</v>
      </c>
    </row>
    <row r="349" spans="3:10" x14ac:dyDescent="0.3">
      <c r="C349" s="4" t="s">
        <v>197</v>
      </c>
      <c r="D349">
        <v>16</v>
      </c>
      <c r="F349" s="4" t="s">
        <v>197</v>
      </c>
      <c r="G349" s="1">
        <v>40.1875</v>
      </c>
      <c r="I349" s="4" t="s">
        <v>199</v>
      </c>
      <c r="J349" s="1">
        <v>5.25</v>
      </c>
    </row>
    <row r="350" spans="3:10" x14ac:dyDescent="0.3">
      <c r="C350" s="4" t="s">
        <v>198</v>
      </c>
      <c r="D350">
        <v>16</v>
      </c>
      <c r="F350" s="4" t="s">
        <v>198</v>
      </c>
      <c r="G350" s="1">
        <v>34.9375</v>
      </c>
      <c r="I350" s="4" t="s">
        <v>200</v>
      </c>
      <c r="J350" s="1">
        <v>7.25</v>
      </c>
    </row>
    <row r="351" spans="3:10" x14ac:dyDescent="0.3">
      <c r="C351" s="4" t="s">
        <v>199</v>
      </c>
      <c r="D351">
        <v>19</v>
      </c>
      <c r="F351" s="4" t="s">
        <v>199</v>
      </c>
      <c r="G351" s="1">
        <v>28.684210526315791</v>
      </c>
      <c r="I351" s="4" t="s">
        <v>201</v>
      </c>
      <c r="J351" s="1">
        <v>6</v>
      </c>
    </row>
    <row r="352" spans="3:10" x14ac:dyDescent="0.3">
      <c r="C352" s="4" t="s">
        <v>200</v>
      </c>
      <c r="D352">
        <v>10</v>
      </c>
      <c r="F352" s="4" t="s">
        <v>200</v>
      </c>
      <c r="G352" s="1">
        <v>25</v>
      </c>
      <c r="I352" s="4" t="s">
        <v>202</v>
      </c>
      <c r="J352" s="1">
        <v>4.5999999999999996</v>
      </c>
    </row>
    <row r="353" spans="3:10" x14ac:dyDescent="0.3">
      <c r="C353" s="4" t="s">
        <v>201</v>
      </c>
      <c r="D353">
        <v>13</v>
      </c>
      <c r="F353" s="4" t="s">
        <v>201</v>
      </c>
      <c r="G353" s="1">
        <v>35.46153846153846</v>
      </c>
      <c r="I353" s="4" t="s">
        <v>203</v>
      </c>
      <c r="J353" s="1">
        <v>8</v>
      </c>
    </row>
    <row r="354" spans="3:10" x14ac:dyDescent="0.3">
      <c r="C354" s="4" t="s">
        <v>202</v>
      </c>
      <c r="D354">
        <v>27</v>
      </c>
      <c r="F354" s="4" t="s">
        <v>202</v>
      </c>
      <c r="G354" s="1">
        <v>33.814814814814817</v>
      </c>
      <c r="I354" s="4" t="s">
        <v>204</v>
      </c>
      <c r="J354" s="1">
        <v>3.6666666666666665</v>
      </c>
    </row>
    <row r="355" spans="3:10" x14ac:dyDescent="0.3">
      <c r="C355" s="4" t="s">
        <v>203</v>
      </c>
      <c r="D355">
        <v>19</v>
      </c>
      <c r="F355" s="4" t="s">
        <v>203</v>
      </c>
      <c r="G355" s="1">
        <v>33.631578947368418</v>
      </c>
      <c r="I355" s="4" t="s">
        <v>205</v>
      </c>
      <c r="J355" s="1">
        <v>2.4285714285714284</v>
      </c>
    </row>
    <row r="356" spans="3:10" x14ac:dyDescent="0.3">
      <c r="C356" s="4" t="s">
        <v>204</v>
      </c>
      <c r="D356">
        <v>18</v>
      </c>
      <c r="F356" s="4" t="s">
        <v>204</v>
      </c>
      <c r="G356" s="1">
        <v>36.611111111111114</v>
      </c>
      <c r="I356" s="4" t="s">
        <v>206</v>
      </c>
      <c r="J356" s="1">
        <v>9</v>
      </c>
    </row>
    <row r="357" spans="3:10" x14ac:dyDescent="0.3">
      <c r="C357" s="4" t="s">
        <v>205</v>
      </c>
      <c r="D357">
        <v>12</v>
      </c>
      <c r="F357" s="4" t="s">
        <v>205</v>
      </c>
      <c r="G357" s="1">
        <v>30.5</v>
      </c>
      <c r="I357" s="4" t="s">
        <v>207</v>
      </c>
      <c r="J357" s="1">
        <v>6</v>
      </c>
    </row>
    <row r="358" spans="3:10" x14ac:dyDescent="0.3">
      <c r="C358" s="4" t="s">
        <v>206</v>
      </c>
      <c r="D358">
        <v>20</v>
      </c>
      <c r="F358" s="4" t="s">
        <v>206</v>
      </c>
      <c r="G358" s="1">
        <v>33.6</v>
      </c>
      <c r="I358" s="4" t="s">
        <v>208</v>
      </c>
      <c r="J358" s="1">
        <v>4</v>
      </c>
    </row>
    <row r="359" spans="3:10" x14ac:dyDescent="0.3">
      <c r="C359" s="4" t="s">
        <v>207</v>
      </c>
      <c r="D359">
        <v>12</v>
      </c>
      <c r="F359" s="4" t="s">
        <v>207</v>
      </c>
      <c r="G359" s="1">
        <v>26.75</v>
      </c>
      <c r="I359" s="4" t="s">
        <v>209</v>
      </c>
      <c r="J359" s="1">
        <v>4.833333333333333</v>
      </c>
    </row>
    <row r="360" spans="3:10" x14ac:dyDescent="0.3">
      <c r="C360" s="4" t="s">
        <v>208</v>
      </c>
      <c r="D360">
        <v>19</v>
      </c>
      <c r="F360" s="4" t="s">
        <v>208</v>
      </c>
      <c r="G360" s="1">
        <v>37.684210526315788</v>
      </c>
      <c r="I360" s="4" t="s">
        <v>210</v>
      </c>
      <c r="J360" s="1">
        <v>3.6</v>
      </c>
    </row>
    <row r="361" spans="3:10" x14ac:dyDescent="0.3">
      <c r="C361" s="4" t="s">
        <v>209</v>
      </c>
      <c r="D361">
        <v>18</v>
      </c>
      <c r="F361" s="4" t="s">
        <v>209</v>
      </c>
      <c r="G361" s="1">
        <v>36.611111111111114</v>
      </c>
      <c r="I361" s="4" t="s">
        <v>211</v>
      </c>
      <c r="J361" s="1">
        <v>5</v>
      </c>
    </row>
    <row r="362" spans="3:10" x14ac:dyDescent="0.3">
      <c r="C362" s="4" t="s">
        <v>210</v>
      </c>
      <c r="D362">
        <v>21</v>
      </c>
      <c r="F362" s="4" t="s">
        <v>210</v>
      </c>
      <c r="G362" s="1">
        <v>35.428571428571431</v>
      </c>
      <c r="I362" s="4" t="s">
        <v>212</v>
      </c>
      <c r="J362" s="1">
        <v>5.25</v>
      </c>
    </row>
    <row r="363" spans="3:10" x14ac:dyDescent="0.3">
      <c r="C363" s="4" t="s">
        <v>211</v>
      </c>
      <c r="D363">
        <v>18</v>
      </c>
      <c r="F363" s="4" t="s">
        <v>211</v>
      </c>
      <c r="G363" s="1">
        <v>31.944444444444443</v>
      </c>
      <c r="I363" s="4" t="s">
        <v>213</v>
      </c>
      <c r="J363" s="1">
        <v>3.2</v>
      </c>
    </row>
    <row r="364" spans="3:10" x14ac:dyDescent="0.3">
      <c r="C364" s="4" t="s">
        <v>212</v>
      </c>
      <c r="D364">
        <v>16</v>
      </c>
      <c r="F364" s="4" t="s">
        <v>212</v>
      </c>
      <c r="G364" s="1">
        <v>31.875</v>
      </c>
      <c r="I364" s="4" t="s">
        <v>214</v>
      </c>
      <c r="J364" s="1">
        <v>5.5</v>
      </c>
    </row>
    <row r="365" spans="3:10" x14ac:dyDescent="0.3">
      <c r="C365" s="4" t="s">
        <v>213</v>
      </c>
      <c r="D365">
        <v>14</v>
      </c>
      <c r="F365" s="4" t="s">
        <v>213</v>
      </c>
      <c r="G365" s="1">
        <v>28.642857142857142</v>
      </c>
      <c r="I365" s="4" t="s">
        <v>215</v>
      </c>
      <c r="J365" s="1">
        <v>3</v>
      </c>
    </row>
    <row r="366" spans="3:10" x14ac:dyDescent="0.3">
      <c r="C366" s="4" t="s">
        <v>214</v>
      </c>
      <c r="D366">
        <v>14</v>
      </c>
      <c r="F366" s="4" t="s">
        <v>214</v>
      </c>
      <c r="G366" s="1">
        <v>39.214285714285715</v>
      </c>
      <c r="I366" s="4" t="s">
        <v>216</v>
      </c>
      <c r="J366" s="1">
        <v>3.9090909090909092</v>
      </c>
    </row>
    <row r="367" spans="3:10" x14ac:dyDescent="0.3">
      <c r="C367" s="4" t="s">
        <v>215</v>
      </c>
      <c r="D367">
        <v>16</v>
      </c>
      <c r="F367" s="4" t="s">
        <v>215</v>
      </c>
      <c r="G367" s="1">
        <v>32.0625</v>
      </c>
      <c r="I367" s="4" t="s">
        <v>217</v>
      </c>
      <c r="J367" s="1">
        <v>2.6666666666666665</v>
      </c>
    </row>
    <row r="368" spans="3:10" x14ac:dyDescent="0.3">
      <c r="C368" s="4" t="s">
        <v>216</v>
      </c>
      <c r="D368">
        <v>21</v>
      </c>
      <c r="F368" s="4" t="s">
        <v>216</v>
      </c>
      <c r="G368" s="1">
        <v>28.285714285714285</v>
      </c>
      <c r="I368" s="4" t="s">
        <v>4</v>
      </c>
      <c r="J368">
        <v>4.9920540325784666</v>
      </c>
    </row>
    <row r="369" spans="1:7" x14ac:dyDescent="0.3">
      <c r="C369" s="4" t="s">
        <v>217</v>
      </c>
      <c r="D369">
        <v>21</v>
      </c>
      <c r="F369" s="4" t="s">
        <v>217</v>
      </c>
      <c r="G369" s="1">
        <v>35.476190476190474</v>
      </c>
    </row>
    <row r="370" spans="1:7" x14ac:dyDescent="0.3">
      <c r="C370" s="4" t="s">
        <v>218</v>
      </c>
      <c r="D370">
        <v>15</v>
      </c>
      <c r="F370" s="4" t="s">
        <v>218</v>
      </c>
      <c r="G370" s="1">
        <v>39.799999999999997</v>
      </c>
    </row>
    <row r="371" spans="1:7" x14ac:dyDescent="0.3">
      <c r="C371" s="4" t="s">
        <v>4</v>
      </c>
      <c r="D371">
        <v>9216</v>
      </c>
      <c r="F371" s="4" t="s">
        <v>4</v>
      </c>
      <c r="G371">
        <v>35.259874131944443</v>
      </c>
    </row>
    <row r="373" spans="1:7" x14ac:dyDescent="0.3">
      <c r="A373" s="3" t="s">
        <v>5</v>
      </c>
      <c r="B373" t="s">
        <v>377</v>
      </c>
      <c r="C373" t="s">
        <v>378</v>
      </c>
    </row>
    <row r="374" spans="1:7" x14ac:dyDescent="0.3">
      <c r="A374" s="4" t="s">
        <v>375</v>
      </c>
      <c r="B374" s="1">
        <v>4612</v>
      </c>
      <c r="C374" s="7">
        <v>0.50043402777777779</v>
      </c>
    </row>
    <row r="375" spans="1:7" x14ac:dyDescent="0.3">
      <c r="A375" s="4" t="s">
        <v>376</v>
      </c>
      <c r="B375" s="1">
        <v>4604</v>
      </c>
      <c r="C375" s="7">
        <v>0.49956597222222221</v>
      </c>
    </row>
    <row r="376" spans="1:7" x14ac:dyDescent="0.3">
      <c r="A376" s="4" t="s">
        <v>4</v>
      </c>
      <c r="B376" s="1">
        <v>9216</v>
      </c>
      <c r="C376" s="7">
        <v>1</v>
      </c>
    </row>
    <row r="383" spans="1:7" x14ac:dyDescent="0.3">
      <c r="B383" s="8" t="s">
        <v>379</v>
      </c>
      <c r="C383" s="8" t="s">
        <v>380</v>
      </c>
      <c r="D383" s="8" t="s">
        <v>381</v>
      </c>
      <c r="E383" s="8"/>
    </row>
    <row r="384" spans="1:7" x14ac:dyDescent="0.3">
      <c r="B384" s="10" t="str">
        <f t="shared" ref="B384:D385" si="0">A374</f>
        <v>Admitted</v>
      </c>
      <c r="C384" s="10">
        <f t="shared" si="0"/>
        <v>4612</v>
      </c>
      <c r="D384" s="11">
        <f t="shared" si="0"/>
        <v>0.50043402777777779</v>
      </c>
      <c r="E384" s="10"/>
    </row>
    <row r="385" spans="1:7" x14ac:dyDescent="0.3">
      <c r="B385" s="10" t="str">
        <f t="shared" si="0"/>
        <v>Not Admitted</v>
      </c>
      <c r="C385" s="10">
        <f t="shared" si="0"/>
        <v>4604</v>
      </c>
      <c r="D385" s="11">
        <f t="shared" si="0"/>
        <v>0.49956597222222221</v>
      </c>
      <c r="E385" s="10"/>
    </row>
    <row r="386" spans="1:7" x14ac:dyDescent="0.3">
      <c r="A386" t="s">
        <v>391</v>
      </c>
      <c r="G386" s="9"/>
    </row>
    <row r="387" spans="1:7" x14ac:dyDescent="0.3">
      <c r="A387" s="3" t="s">
        <v>5</v>
      </c>
      <c r="B387" t="s">
        <v>390</v>
      </c>
    </row>
    <row r="388" spans="1:7" x14ac:dyDescent="0.3">
      <c r="A388" s="4" t="s">
        <v>382</v>
      </c>
      <c r="B388" s="12">
        <v>1176</v>
      </c>
    </row>
    <row r="389" spans="1:7" x14ac:dyDescent="0.3">
      <c r="A389" s="4" t="s">
        <v>383</v>
      </c>
      <c r="B389" s="12">
        <v>1160</v>
      </c>
    </row>
    <row r="390" spans="1:7" x14ac:dyDescent="0.3">
      <c r="A390" s="4" t="s">
        <v>384</v>
      </c>
      <c r="B390" s="12">
        <v>1207</v>
      </c>
    </row>
    <row r="391" spans="1:7" x14ac:dyDescent="0.3">
      <c r="A391" s="4" t="s">
        <v>385</v>
      </c>
      <c r="B391" s="12">
        <v>1191</v>
      </c>
    </row>
    <row r="392" spans="1:7" x14ac:dyDescent="0.3">
      <c r="A392" s="4" t="s">
        <v>386</v>
      </c>
      <c r="B392" s="12">
        <v>1137</v>
      </c>
    </row>
    <row r="393" spans="1:7" x14ac:dyDescent="0.3">
      <c r="A393" s="4" t="s">
        <v>387</v>
      </c>
      <c r="B393" s="12">
        <v>1147</v>
      </c>
    </row>
    <row r="394" spans="1:7" x14ac:dyDescent="0.3">
      <c r="A394" s="4" t="s">
        <v>388</v>
      </c>
      <c r="B394" s="12">
        <v>1150</v>
      </c>
    </row>
    <row r="395" spans="1:7" x14ac:dyDescent="0.3">
      <c r="A395" s="4" t="s">
        <v>389</v>
      </c>
      <c r="B395" s="12">
        <v>1048</v>
      </c>
    </row>
    <row r="396" spans="1:7" x14ac:dyDescent="0.3">
      <c r="A396" s="4" t="s">
        <v>4</v>
      </c>
      <c r="B396" s="12">
        <v>9216</v>
      </c>
    </row>
    <row r="400" spans="1:7" x14ac:dyDescent="0.3">
      <c r="A400" s="3" t="s">
        <v>5</v>
      </c>
      <c r="B400" t="s">
        <v>392</v>
      </c>
    </row>
    <row r="401" spans="1:2" x14ac:dyDescent="0.3">
      <c r="A401" s="4" t="s">
        <v>394</v>
      </c>
      <c r="B401" s="12">
        <v>5467</v>
      </c>
    </row>
    <row r="402" spans="1:2" x14ac:dyDescent="0.3">
      <c r="A402" s="4" t="s">
        <v>393</v>
      </c>
      <c r="B402" s="12">
        <v>3749</v>
      </c>
    </row>
    <row r="403" spans="1:2" x14ac:dyDescent="0.3">
      <c r="A403" s="4" t="s">
        <v>4</v>
      </c>
      <c r="B403" s="12">
        <v>9216</v>
      </c>
    </row>
    <row r="407" spans="1:2" x14ac:dyDescent="0.3">
      <c r="A407" s="3" t="s">
        <v>5</v>
      </c>
      <c r="B407" t="s">
        <v>395</v>
      </c>
    </row>
    <row r="408" spans="1:2" x14ac:dyDescent="0.3">
      <c r="A408" s="4" t="s">
        <v>396</v>
      </c>
      <c r="B408" s="1">
        <v>4487</v>
      </c>
    </row>
    <row r="409" spans="1:2" x14ac:dyDescent="0.3">
      <c r="A409" s="4" t="s">
        <v>397</v>
      </c>
      <c r="B409" s="1">
        <v>4729</v>
      </c>
    </row>
    <row r="410" spans="1:2" x14ac:dyDescent="0.3">
      <c r="A410" s="4" t="s">
        <v>4</v>
      </c>
      <c r="B410" s="12">
        <v>9216</v>
      </c>
    </row>
    <row r="414" spans="1:2" x14ac:dyDescent="0.3">
      <c r="A414" s="3" t="s">
        <v>5</v>
      </c>
      <c r="B414" t="s">
        <v>406</v>
      </c>
    </row>
    <row r="415" spans="1:2" x14ac:dyDescent="0.3">
      <c r="A415" s="4" t="s">
        <v>405</v>
      </c>
      <c r="B415" s="1">
        <v>86</v>
      </c>
    </row>
    <row r="416" spans="1:2" x14ac:dyDescent="0.3">
      <c r="A416" s="4" t="s">
        <v>399</v>
      </c>
      <c r="B416" s="1">
        <v>178</v>
      </c>
    </row>
    <row r="417" spans="1:2" x14ac:dyDescent="0.3">
      <c r="A417" s="4" t="s">
        <v>401</v>
      </c>
      <c r="B417" s="1">
        <v>193</v>
      </c>
    </row>
    <row r="418" spans="1:2" x14ac:dyDescent="0.3">
      <c r="A418" s="4" t="s">
        <v>398</v>
      </c>
      <c r="B418" s="1">
        <v>248</v>
      </c>
    </row>
    <row r="419" spans="1:2" x14ac:dyDescent="0.3">
      <c r="A419" s="4" t="s">
        <v>404</v>
      </c>
      <c r="B419" s="1">
        <v>276</v>
      </c>
    </row>
    <row r="420" spans="1:2" x14ac:dyDescent="0.3">
      <c r="A420" s="4" t="s">
        <v>403</v>
      </c>
      <c r="B420" s="1">
        <v>995</v>
      </c>
    </row>
    <row r="421" spans="1:2" x14ac:dyDescent="0.3">
      <c r="A421" s="4" t="s">
        <v>400</v>
      </c>
      <c r="B421" s="1">
        <v>1840</v>
      </c>
    </row>
    <row r="422" spans="1:2" x14ac:dyDescent="0.3">
      <c r="A422" s="4" t="s">
        <v>402</v>
      </c>
      <c r="B422" s="1">
        <v>5400</v>
      </c>
    </row>
    <row r="423" spans="1:2" x14ac:dyDescent="0.3">
      <c r="A423" s="4" t="s">
        <v>4</v>
      </c>
      <c r="B423" s="12">
        <v>9216</v>
      </c>
    </row>
    <row r="427" spans="1:2" x14ac:dyDescent="0.3">
      <c r="A427" s="3" t="s">
        <v>5</v>
      </c>
    </row>
    <row r="428" spans="1:2" x14ac:dyDescent="0.3">
      <c r="A428" s="4" t="s">
        <v>407</v>
      </c>
    </row>
    <row r="429" spans="1:2" x14ac:dyDescent="0.3">
      <c r="A429" s="4" t="s">
        <v>408</v>
      </c>
    </row>
    <row r="430" spans="1:2" x14ac:dyDescent="0.3">
      <c r="A430" s="4" t="s">
        <v>4</v>
      </c>
    </row>
  </sheetData>
  <pageMargins left="0.7" right="0.7" top="0.75" bottom="0.75" header="0.3" footer="0.3"/>
  <pageSetup paperSize="9"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62A5-234A-4C21-A313-E8B3AA947A17}">
  <dimension ref="A1"/>
  <sheetViews>
    <sheetView tabSelected="1" zoomScale="175" zoomScaleNormal="175" workbookViewId="0">
      <selection activeCell="M8" sqref="M8"/>
    </sheetView>
  </sheetViews>
  <sheetFormatPr defaultRowHeight="14.4" x14ac:dyDescent="0.3"/>
  <cols>
    <col min="1" max="4" width="8.88671875" style="2"/>
    <col min="5" max="5" width="8.88671875" style="2" customWidth="1"/>
    <col min="6" max="6" width="8.88671875" style="2"/>
    <col min="7" max="7" width="9.109375" style="2" customWidth="1"/>
    <col min="8" max="16384" width="8.88671875" style="2"/>
  </cols>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7227-26F7-446E-A210-6DF9F8B1068D}">
  <dimension ref="A1"/>
  <sheetViews>
    <sheetView zoomScaleNormal="100" workbookViewId="0"/>
  </sheetViews>
  <sheetFormatPr defaultRowHeight="14.4" x14ac:dyDescent="0.3"/>
  <cols>
    <col min="1" max="16384" width="8.88671875" style="5"/>
  </cols>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8DC6-116A-4FB4-A1E8-068865A98B06}">
  <dimension ref="A1"/>
  <sheetViews>
    <sheetView zoomScaleNormal="100" workbookViewId="0">
      <selection activeCell="P28" sqref="P28"/>
    </sheetView>
  </sheetViews>
  <sheetFormatPr defaultRowHeight="14.4" x14ac:dyDescent="0.3"/>
  <cols>
    <col min="1" max="16384" width="8.88671875" style="2"/>
  </cols>
  <sheetData>
    <row r="1" spans="1:1" x14ac:dyDescent="0.3">
      <c r="A1" s="6"/>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44D80-25E8-4C7B-AC5E-7890259EE106}">
  <dimension ref="A1"/>
  <sheetViews>
    <sheetView workbookViewId="0"/>
  </sheetViews>
  <sheetFormatPr defaultRowHeight="14.4" x14ac:dyDescent="0.3"/>
  <cols>
    <col min="1" max="16384" width="8.88671875" style="2"/>
  </cols>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1A3616E-D59B-4D1C-876D-CE393FC120C9}">
  <ds:schemaRefs/>
</ds:datastoreItem>
</file>

<file path=customXml/itemProps2.xml><?xml version="1.0" encoding="utf-8"?>
<ds:datastoreItem xmlns:ds="http://schemas.openxmlformats.org/officeDocument/2006/customXml" ds:itemID="{723590DB-0D98-421A-A034-339B507D47A0}">
  <ds:schemaRefs/>
</ds:datastoreItem>
</file>

<file path=customXml/itemProps3.xml><?xml version="1.0" encoding="utf-8"?>
<ds:datastoreItem xmlns:ds="http://schemas.openxmlformats.org/officeDocument/2006/customXml" ds:itemID="{29E543AE-0E0F-4E87-9758-94ED2A1DDD56}">
  <ds:schemaRefs/>
</ds:datastoreItem>
</file>

<file path=customXml/itemProps4.xml><?xml version="1.0" encoding="utf-8"?>
<ds:datastoreItem xmlns:ds="http://schemas.openxmlformats.org/officeDocument/2006/customXml" ds:itemID="{4F630954-1520-4296-AC99-C5AEDDAC3949}">
  <ds:schemaRefs/>
</ds:datastoreItem>
</file>

<file path=customXml/itemProps5.xml><?xml version="1.0" encoding="utf-8"?>
<ds:datastoreItem xmlns:ds="http://schemas.openxmlformats.org/officeDocument/2006/customXml" ds:itemID="{6BA8C425-42F1-42BB-B41F-CC2CEE1D3DD4}">
  <ds:schemaRefs/>
</ds:datastoreItem>
</file>

<file path=customXml/itemProps6.xml><?xml version="1.0" encoding="utf-8"?>
<ds:datastoreItem xmlns:ds="http://schemas.openxmlformats.org/officeDocument/2006/customXml" ds:itemID="{A5ED0744-71EA-4800-AF1A-257DF05A341C}">
  <ds:schemaRefs/>
</ds:datastoreItem>
</file>

<file path=customXml/itemProps7.xml><?xml version="1.0" encoding="utf-8"?>
<ds:datastoreItem xmlns:ds="http://schemas.openxmlformats.org/officeDocument/2006/customXml" ds:itemID="{353685CE-E69C-4198-BBE9-E814FBF783CE}">
  <ds:schemaRefs/>
</ds:datastoreItem>
</file>

<file path=customXml/itemProps8.xml><?xml version="1.0" encoding="utf-8"?>
<ds:datastoreItem xmlns:ds="http://schemas.openxmlformats.org/officeDocument/2006/customXml" ds:itemID="{5D9B83D4-63A9-4EB7-9D01-6B2F9D552BDC}">
  <ds:schemaRefs/>
</ds:datastoreItem>
</file>

<file path=customXml/itemProps9.xml><?xml version="1.0" encoding="utf-8"?>
<ds:datastoreItem xmlns:ds="http://schemas.openxmlformats.org/officeDocument/2006/customXml" ds:itemID="{8F6F3C14-781C-4264-93B5-83D09C96212F}">
  <ds:schemaRefs/>
</ds:datastoreItem>
</file>

<file path=customXml/itemProps10.xml><?xml version="1.0" encoding="utf-8"?>
<ds:datastoreItem xmlns:ds="http://schemas.openxmlformats.org/officeDocument/2006/customXml" ds:itemID="{AA416488-9F18-40AE-93AE-57AE25E2FA7A}">
  <ds:schemaRefs/>
</ds:datastoreItem>
</file>

<file path=customXml/itemProps11.xml><?xml version="1.0" encoding="utf-8"?>
<ds:datastoreItem xmlns:ds="http://schemas.openxmlformats.org/officeDocument/2006/customXml" ds:itemID="{36A482C0-1FE2-4885-B36C-66C2FE46A816}">
  <ds:schemaRefs/>
</ds:datastoreItem>
</file>

<file path=customXml/itemProps12.xml><?xml version="1.0" encoding="utf-8"?>
<ds:datastoreItem xmlns:ds="http://schemas.openxmlformats.org/officeDocument/2006/customXml" ds:itemID="{7435E9D2-04E2-4F8F-BA00-5B718E1570F9}">
  <ds:schemaRefs/>
</ds:datastoreItem>
</file>

<file path=customXml/itemProps13.xml><?xml version="1.0" encoding="utf-8"?>
<ds:datastoreItem xmlns:ds="http://schemas.openxmlformats.org/officeDocument/2006/customXml" ds:itemID="{3A253314-2E95-4172-9D1B-E5D6B83C5F97}">
  <ds:schemaRefs/>
</ds:datastoreItem>
</file>

<file path=customXml/itemProps14.xml><?xml version="1.0" encoding="utf-8"?>
<ds:datastoreItem xmlns:ds="http://schemas.openxmlformats.org/officeDocument/2006/customXml" ds:itemID="{A0636D9E-303D-4A40-8F53-181C3E360D16}">
  <ds:schemaRefs/>
</ds:datastoreItem>
</file>

<file path=customXml/itemProps15.xml><?xml version="1.0" encoding="utf-8"?>
<ds:datastoreItem xmlns:ds="http://schemas.openxmlformats.org/officeDocument/2006/customXml" ds:itemID="{DB16DF5D-141F-4F4F-9635-448DEE0CFC4D}">
  <ds:schemaRefs/>
</ds:datastoreItem>
</file>

<file path=customXml/itemProps16.xml><?xml version="1.0" encoding="utf-8"?>
<ds:datastoreItem xmlns:ds="http://schemas.openxmlformats.org/officeDocument/2006/customXml" ds:itemID="{80BD7E3E-060C-4855-AB6B-4F596FDD6752}">
  <ds:schemaRefs>
    <ds:schemaRef ds:uri="http://schemas.microsoft.com/DataMashup"/>
  </ds:schemaRefs>
</ds:datastoreItem>
</file>

<file path=customXml/itemProps17.xml><?xml version="1.0" encoding="utf-8"?>
<ds:datastoreItem xmlns:ds="http://schemas.openxmlformats.org/officeDocument/2006/customXml" ds:itemID="{FC5AB635-46AB-45E8-8C84-4B97172705DF}">
  <ds:schemaRefs/>
</ds:datastoreItem>
</file>

<file path=customXml/itemProps18.xml><?xml version="1.0" encoding="utf-8"?>
<ds:datastoreItem xmlns:ds="http://schemas.openxmlformats.org/officeDocument/2006/customXml" ds:itemID="{70D168E2-EEF9-4FC1-BB46-0BC44F1447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 Visit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2025-11-16T14:18:35Z</dcterms:created>
  <dcterms:modified xsi:type="dcterms:W3CDTF">2025-11-16T14:18:48Z</dcterms:modified>
</cp:coreProperties>
</file>